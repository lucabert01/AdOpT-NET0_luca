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oeuvray\polybox\PhD\Modelling_MT\Data\BulkShip\Roussanaly2021\"/>
    </mc:Choice>
  </mc:AlternateContent>
  <bookViews>
    <workbookView xWindow="0" yWindow="0" windowWidth="28800" windowHeight="12300" activeTab="1"/>
  </bookViews>
  <sheets>
    <sheet name="Table" sheetId="1" r:id="rId1"/>
    <sheet name="Data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3" i="3" l="1"/>
  <c r="F6" i="3" l="1"/>
  <c r="E4" i="3"/>
  <c r="E5" i="3" s="1"/>
  <c r="D4" i="3"/>
  <c r="D5" i="3" s="1"/>
</calcChain>
</file>

<file path=xl/sharedStrings.xml><?xml version="1.0" encoding="utf-8"?>
<sst xmlns="http://schemas.openxmlformats.org/spreadsheetml/2006/main" count="69" uniqueCount="55">
  <si>
    <t>Ship capacity</t>
  </si>
  <si>
    <t>CAPEX</t>
  </si>
  <si>
    <t>7 barg</t>
  </si>
  <si>
    <t>15 barg</t>
  </si>
  <si>
    <t>Specific Fuel Consumption</t>
  </si>
  <si>
    <t>€/m3</t>
  </si>
  <si>
    <t>Density</t>
  </si>
  <si>
    <t>kg/m3</t>
  </si>
  <si>
    <t>€/kg</t>
  </si>
  <si>
    <t>Loading and unloading facilities</t>
  </si>
  <si>
    <t>Fuel cost</t>
  </si>
  <si>
    <t>Harbour fee</t>
  </si>
  <si>
    <t>Discount rate</t>
  </si>
  <si>
    <t>%</t>
  </si>
  <si>
    <t>Project duration</t>
  </si>
  <si>
    <t>y</t>
  </si>
  <si>
    <t>Operating rate</t>
  </si>
  <si>
    <t>Velocity</t>
  </si>
  <si>
    <t>Buffer storage size</t>
  </si>
  <si>
    <t>t/t_storage</t>
  </si>
  <si>
    <t>km/h</t>
  </si>
  <si>
    <t>both</t>
  </si>
  <si>
    <t>Operation hours</t>
  </si>
  <si>
    <t>h/y</t>
  </si>
  <si>
    <t>Time departure</t>
  </si>
  <si>
    <t>Time arrival</t>
  </si>
  <si>
    <t>h</t>
  </si>
  <si>
    <t>tCO2/ship</t>
  </si>
  <si>
    <t>€/ship</t>
  </si>
  <si>
    <t>tfuel/tCO2/km</t>
  </si>
  <si>
    <t>OPEX loading/unloading</t>
  </si>
  <si>
    <t>OPEX buffer</t>
  </si>
  <si>
    <t>CRF</t>
  </si>
  <si>
    <t>Symbol</t>
  </si>
  <si>
    <t>Unit</t>
  </si>
  <si>
    <t>Name</t>
  </si>
  <si>
    <t>Buffer storage cost</t>
  </si>
  <si>
    <t>mu_Stor</t>
  </si>
  <si>
    <t>mu_Load</t>
  </si>
  <si>
    <t>r</t>
  </si>
  <si>
    <t>eta_ship</t>
  </si>
  <si>
    <t>delta_Stor</t>
  </si>
  <si>
    <t>OPEX ship</t>
  </si>
  <si>
    <t>mu_ship</t>
  </si>
  <si>
    <t>C_fuel_EUR_per_t</t>
  </si>
  <si>
    <t>€/tCO2</t>
  </si>
  <si>
    <t>€/tfuel</t>
  </si>
  <si>
    <t>C_harbor_EUR_per_tCO2</t>
  </si>
  <si>
    <t>tau_y</t>
  </si>
  <si>
    <t>v_km_per_h</t>
  </si>
  <si>
    <t>tDep_h</t>
  </si>
  <si>
    <t>tArr_h</t>
  </si>
  <si>
    <t>tOp_h_per_y</t>
  </si>
  <si>
    <t>cLoad_EUR_per_tCO2</t>
  </si>
  <si>
    <t>cStor_EUR_per_tCO2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</si>
</sst>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/>
    <xf numFmtId="164" fontId="0" fillId="0" borderId="0" xfId="0" applyNumberFormat="1"/>
    <xf numFmtId="1" fontId="0" fillId="0" borderId="0" xfId="0" applyNumberFormat="1"/>
    <xf numFmtId="9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workbookViewId="0"/>
  </sheetViews>
  <sheetFormatPr defaultRowHeight="15" x14ac:dyDescent="0.25"/>
  <cols>
    <col min="4" max="4" width="11" bestFit="1" customWidth="1"/>
  </cols>
  <sheetData>
    <row r="1" spans="1:4" x14ac:dyDescent="0.25">
      <c r="A1" t="s">
        <v>0</v>
      </c>
      <c r="B1" t="s">
        <v>1</v>
      </c>
      <c r="C1" t="s">
        <v>1</v>
      </c>
      <c r="D1" t="s">
        <v>4</v>
      </c>
    </row>
    <row r="2" spans="1:4" x14ac:dyDescent="0.25">
      <c r="B2" t="s">
        <v>2</v>
      </c>
      <c r="C2" t="s">
        <v>3</v>
      </c>
    </row>
    <row r="3" spans="1:4" x14ac:dyDescent="0.25">
      <c r="A3" t="s">
        <v>27</v>
      </c>
      <c r="B3" t="s">
        <v>28</v>
      </c>
      <c r="C3" t="s">
        <v>28</v>
      </c>
      <c r="D3" t="s">
        <v>29</v>
      </c>
    </row>
    <row r="4" spans="1:4" x14ac:dyDescent="0.25">
      <c r="A4" s="5">
        <v>2500</v>
      </c>
      <c r="B4" s="5">
        <v>16200000</v>
      </c>
      <c r="C4" s="5">
        <v>35400000</v>
      </c>
      <c r="D4" s="5">
        <v>7.0700000000000001E-6</v>
      </c>
    </row>
    <row r="5" spans="1:4" x14ac:dyDescent="0.25">
      <c r="A5" s="5">
        <v>5000</v>
      </c>
      <c r="B5" s="5">
        <v>23500000</v>
      </c>
      <c r="C5" s="5">
        <v>50000000</v>
      </c>
      <c r="D5" s="5">
        <v>6.9699999999999993E-6</v>
      </c>
    </row>
    <row r="6" spans="1:4" x14ac:dyDescent="0.25">
      <c r="A6" s="5">
        <v>7500</v>
      </c>
      <c r="B6" s="5">
        <v>29200000</v>
      </c>
      <c r="C6" s="5">
        <v>61200000</v>
      </c>
      <c r="D6" s="5">
        <v>6.8700000000000003E-6</v>
      </c>
    </row>
    <row r="7" spans="1:4" x14ac:dyDescent="0.25">
      <c r="A7" s="5">
        <v>10000</v>
      </c>
      <c r="B7" s="5">
        <v>34100000</v>
      </c>
      <c r="C7" s="5">
        <v>70600000</v>
      </c>
      <c r="D7" s="5">
        <v>6.7699999999999996E-6</v>
      </c>
    </row>
    <row r="8" spans="1:4" x14ac:dyDescent="0.25">
      <c r="A8" s="5">
        <v>12500</v>
      </c>
      <c r="B8" s="5">
        <v>38400000</v>
      </c>
      <c r="C8" s="5">
        <v>78900000</v>
      </c>
      <c r="D8" s="5">
        <v>6.6699999999999997E-6</v>
      </c>
    </row>
    <row r="9" spans="1:4" x14ac:dyDescent="0.25">
      <c r="A9" s="5">
        <v>15000</v>
      </c>
      <c r="B9" s="5">
        <v>42400000</v>
      </c>
      <c r="C9" s="5">
        <v>86400000</v>
      </c>
      <c r="D9" s="5">
        <v>6.5799999999999997E-6</v>
      </c>
    </row>
    <row r="10" spans="1:4" x14ac:dyDescent="0.25">
      <c r="A10" s="5">
        <v>20000</v>
      </c>
      <c r="B10" s="5">
        <v>49400000</v>
      </c>
      <c r="C10" s="5">
        <v>99700000</v>
      </c>
      <c r="D10" s="5">
        <v>6.3799999999999999E-6</v>
      </c>
    </row>
    <row r="11" spans="1:4" x14ac:dyDescent="0.25">
      <c r="A11" s="5">
        <v>25000</v>
      </c>
      <c r="B11" s="5">
        <v>55700000</v>
      </c>
      <c r="C11" s="5">
        <v>111500000</v>
      </c>
      <c r="D11" s="5">
        <v>6.1800000000000001E-6</v>
      </c>
    </row>
    <row r="12" spans="1:4" x14ac:dyDescent="0.25">
      <c r="A12" s="5">
        <v>30000</v>
      </c>
      <c r="B12" s="5">
        <v>61500000</v>
      </c>
      <c r="C12" s="5">
        <v>122100000</v>
      </c>
      <c r="D12" s="5">
        <v>5.9800000000000003E-6</v>
      </c>
    </row>
    <row r="13" spans="1:4" x14ac:dyDescent="0.25">
      <c r="A13" s="5">
        <v>35000</v>
      </c>
      <c r="B13" s="5">
        <v>66800000</v>
      </c>
      <c r="C13" s="5">
        <v>131800000.00000001</v>
      </c>
      <c r="D13" s="5">
        <v>5.7800000000000006E-6</v>
      </c>
    </row>
    <row r="14" spans="1:4" x14ac:dyDescent="0.25">
      <c r="A14" s="5">
        <v>40000</v>
      </c>
      <c r="B14" s="5">
        <v>71700000</v>
      </c>
      <c r="C14" s="5">
        <v>140900000</v>
      </c>
      <c r="D14" s="5">
        <v>5.5899999999999998E-6</v>
      </c>
    </row>
    <row r="15" spans="1:4" x14ac:dyDescent="0.25">
      <c r="A15" s="5">
        <v>45000</v>
      </c>
      <c r="B15" s="5">
        <v>76400000</v>
      </c>
      <c r="C15" s="5">
        <v>149400000</v>
      </c>
      <c r="D15" s="5">
        <v>5.3900000000000001E-6</v>
      </c>
    </row>
    <row r="16" spans="1:4" x14ac:dyDescent="0.25">
      <c r="A16" s="5">
        <v>50000</v>
      </c>
      <c r="B16" s="5">
        <v>80900000</v>
      </c>
      <c r="C16" s="5">
        <v>157500000</v>
      </c>
      <c r="D16" s="5">
        <v>5.1900000000000003E-6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tabSelected="1" workbookViewId="0">
      <selection activeCell="B5" sqref="B5"/>
    </sheetView>
  </sheetViews>
  <sheetFormatPr defaultRowHeight="15" x14ac:dyDescent="0.25"/>
  <cols>
    <col min="1" max="1" width="29.42578125" bestFit="1" customWidth="1"/>
    <col min="2" max="2" width="29.42578125" customWidth="1"/>
  </cols>
  <sheetData>
    <row r="1" spans="1:6" x14ac:dyDescent="0.25">
      <c r="A1" t="s">
        <v>35</v>
      </c>
      <c r="B1" t="s">
        <v>33</v>
      </c>
      <c r="C1" t="s">
        <v>34</v>
      </c>
      <c r="D1" t="s">
        <v>2</v>
      </c>
      <c r="E1" t="s">
        <v>3</v>
      </c>
      <c r="F1" t="s">
        <v>21</v>
      </c>
    </row>
    <row r="2" spans="1:6" x14ac:dyDescent="0.25">
      <c r="A2" t="s">
        <v>36</v>
      </c>
      <c r="C2" t="s">
        <v>5</v>
      </c>
      <c r="D2">
        <v>550</v>
      </c>
      <c r="E2">
        <v>920</v>
      </c>
    </row>
    <row r="3" spans="1:6" x14ac:dyDescent="0.25">
      <c r="A3" t="s">
        <v>6</v>
      </c>
      <c r="C3" t="s">
        <v>7</v>
      </c>
      <c r="D3">
        <v>1150</v>
      </c>
      <c r="E3">
        <v>1060</v>
      </c>
    </row>
    <row r="4" spans="1:6" x14ac:dyDescent="0.25">
      <c r="A4" t="s">
        <v>36</v>
      </c>
      <c r="C4" t="s">
        <v>8</v>
      </c>
      <c r="D4">
        <f>D2/D3</f>
        <v>0.47826086956521741</v>
      </c>
      <c r="E4">
        <f>E2/E3</f>
        <v>0.86792452830188682</v>
      </c>
    </row>
    <row r="5" spans="1:6" x14ac:dyDescent="0.25">
      <c r="A5" t="s">
        <v>36</v>
      </c>
      <c r="B5" t="s">
        <v>54</v>
      </c>
      <c r="C5" t="s">
        <v>45</v>
      </c>
      <c r="D5" s="3">
        <f>D4*1000</f>
        <v>478.26086956521743</v>
      </c>
      <c r="E5" s="3">
        <f>E4*1000</f>
        <v>867.92452830188677</v>
      </c>
    </row>
    <row r="6" spans="1:6" x14ac:dyDescent="0.25">
      <c r="A6" t="s">
        <v>9</v>
      </c>
      <c r="B6" t="s">
        <v>53</v>
      </c>
      <c r="C6" t="s">
        <v>45</v>
      </c>
      <c r="D6" s="1"/>
      <c r="F6" s="1">
        <f>7.9/3</f>
        <v>2.6333333333333333</v>
      </c>
    </row>
    <row r="7" spans="1:6" x14ac:dyDescent="0.25">
      <c r="A7" t="s">
        <v>31</v>
      </c>
      <c r="B7" t="s">
        <v>37</v>
      </c>
      <c r="C7" t="s">
        <v>13</v>
      </c>
      <c r="D7" s="1"/>
      <c r="F7" s="4">
        <v>0.06</v>
      </c>
    </row>
    <row r="8" spans="1:6" x14ac:dyDescent="0.25">
      <c r="A8" t="s">
        <v>30</v>
      </c>
      <c r="B8" t="s">
        <v>38</v>
      </c>
      <c r="C8" t="s">
        <v>13</v>
      </c>
      <c r="D8" s="4"/>
      <c r="F8" s="4">
        <v>0.02</v>
      </c>
    </row>
    <row r="9" spans="1:6" x14ac:dyDescent="0.25">
      <c r="A9" t="s">
        <v>10</v>
      </c>
      <c r="B9" t="s">
        <v>44</v>
      </c>
      <c r="C9" t="s">
        <v>46</v>
      </c>
      <c r="F9">
        <v>325</v>
      </c>
    </row>
    <row r="10" spans="1:6" x14ac:dyDescent="0.25">
      <c r="A10" t="s">
        <v>11</v>
      </c>
      <c r="B10" t="s">
        <v>47</v>
      </c>
      <c r="C10" t="s">
        <v>45</v>
      </c>
      <c r="F10">
        <v>1.1000000000000001</v>
      </c>
    </row>
    <row r="11" spans="1:6" x14ac:dyDescent="0.25">
      <c r="A11" t="s">
        <v>12</v>
      </c>
      <c r="B11" t="s">
        <v>39</v>
      </c>
      <c r="C11" t="s">
        <v>13</v>
      </c>
      <c r="D11" s="4"/>
      <c r="F11" s="4">
        <v>0.08</v>
      </c>
    </row>
    <row r="12" spans="1:6" x14ac:dyDescent="0.25">
      <c r="A12" t="s">
        <v>14</v>
      </c>
      <c r="B12" t="s">
        <v>48</v>
      </c>
      <c r="C12" t="s">
        <v>15</v>
      </c>
      <c r="F12">
        <v>25</v>
      </c>
    </row>
    <row r="13" spans="1:6" x14ac:dyDescent="0.25">
      <c r="A13" t="s">
        <v>32</v>
      </c>
      <c r="B13" t="s">
        <v>32</v>
      </c>
      <c r="F13">
        <f>F11/(1-(1+F11)^-F12)</f>
        <v>9.3678779051968114E-2</v>
      </c>
    </row>
    <row r="14" spans="1:6" x14ac:dyDescent="0.25">
      <c r="A14" t="s">
        <v>16</v>
      </c>
      <c r="B14" t="s">
        <v>40</v>
      </c>
      <c r="C14" t="s">
        <v>13</v>
      </c>
      <c r="D14" s="4"/>
      <c r="F14" s="4">
        <v>0.85</v>
      </c>
    </row>
    <row r="15" spans="1:6" x14ac:dyDescent="0.25">
      <c r="A15" t="s">
        <v>42</v>
      </c>
      <c r="B15" t="s">
        <v>43</v>
      </c>
      <c r="C15" t="s">
        <v>13</v>
      </c>
      <c r="D15" s="4"/>
      <c r="F15" s="4">
        <v>0.05</v>
      </c>
    </row>
    <row r="16" spans="1:6" x14ac:dyDescent="0.25">
      <c r="A16" t="s">
        <v>17</v>
      </c>
      <c r="B16" t="s">
        <v>49</v>
      </c>
      <c r="C16" t="s">
        <v>20</v>
      </c>
      <c r="F16">
        <v>26</v>
      </c>
    </row>
    <row r="17" spans="1:6" x14ac:dyDescent="0.25">
      <c r="A17" t="s">
        <v>18</v>
      </c>
      <c r="B17" t="s">
        <v>41</v>
      </c>
      <c r="C17" t="s">
        <v>19</v>
      </c>
      <c r="D17" s="2"/>
      <c r="F17" s="2">
        <v>1.2</v>
      </c>
    </row>
    <row r="18" spans="1:6" x14ac:dyDescent="0.25">
      <c r="A18" t="s">
        <v>22</v>
      </c>
      <c r="B18" t="s">
        <v>52</v>
      </c>
      <c r="C18" t="s">
        <v>23</v>
      </c>
      <c r="F18">
        <v>8400</v>
      </c>
    </row>
    <row r="19" spans="1:6" x14ac:dyDescent="0.25">
      <c r="A19" t="s">
        <v>24</v>
      </c>
      <c r="B19" t="s">
        <v>50</v>
      </c>
      <c r="C19" t="s">
        <v>26</v>
      </c>
      <c r="F19">
        <v>12</v>
      </c>
    </row>
    <row r="20" spans="1:6" x14ac:dyDescent="0.25">
      <c r="A20" t="s">
        <v>25</v>
      </c>
      <c r="B20" t="s">
        <v>51</v>
      </c>
      <c r="C20" t="s">
        <v>26</v>
      </c>
      <c r="F20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</vt:lpstr>
      <vt:lpstr>Data</vt:lpstr>
    </vt:vector>
  </TitlesOfParts>
  <Company>ETH Zuerich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Oeuvray  Pauline</dc:creator>
  <cp:lastModifiedBy>Oeuvray  Pauline</cp:lastModifiedBy>
  <dcterms:created xsi:type="dcterms:W3CDTF">2022-11-02T14:57:10Z</dcterms:created>
  <dcterms:modified xsi:type="dcterms:W3CDTF">2022-11-30T16:04:31Z</dcterms:modified>
</cp:coreProperties>
</file>