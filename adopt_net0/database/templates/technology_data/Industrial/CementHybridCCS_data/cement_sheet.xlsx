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954659\PycharmProjects\AdOpT-NET0_luca\adopt_net0\database\templates\technology_data\Industrial\CementHybridCCS_data\"/>
    </mc:Choice>
  </mc:AlternateContent>
  <xr:revisionPtr revIDLastSave="0" documentId="13_ncr:1_{63AFDCFD-5607-44CC-996A-D0FCDE1AB878}" xr6:coauthVersionLast="47" xr6:coauthVersionMax="47" xr10:uidLastSave="{00000000-0000-0000-0000-000000000000}"/>
  <bookViews>
    <workbookView xWindow="-28920" yWindow="-120" windowWidth="29040" windowHeight="15720" activeTab="4" xr2:uid="{C0ECAA26-0769-408D-9398-31AECF4E3649}"/>
  </bookViews>
  <sheets>
    <sheet name="capex_oxyfuel" sheetId="1" r:id="rId1"/>
    <sheet name="capex_mea" sheetId="2" r:id="rId2"/>
    <sheet name="capex_cpu_oxyfuel" sheetId="6" r:id="rId3"/>
    <sheet name="capex_compressor_mea" sheetId="5" r:id="rId4"/>
    <sheet name="energy_oxy_mea" sheetId="3" r:id="rId5"/>
    <sheet name="energy_cpu_compressor" sheetId="7" r:id="rId6"/>
    <sheet name="calculation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B5" i="1"/>
  <c r="B5" i="6"/>
  <c r="C5" i="6"/>
  <c r="D5" i="6"/>
  <c r="D6" i="5"/>
  <c r="C6" i="5"/>
  <c r="B6" i="5"/>
  <c r="B5" i="3"/>
  <c r="C40" i="4"/>
  <c r="C38" i="4"/>
  <c r="C41" i="4"/>
  <c r="L5" i="4" l="1"/>
  <c r="E6" i="4"/>
  <c r="F6" i="4"/>
  <c r="G6" i="4"/>
  <c r="D6" i="4"/>
  <c r="D19" i="4"/>
  <c r="F19" i="4"/>
  <c r="G7" i="4"/>
  <c r="D7" i="4" l="1"/>
  <c r="D20" i="4"/>
  <c r="E19" i="4"/>
  <c r="G19" i="4"/>
  <c r="E20" i="4"/>
  <c r="C39" i="4"/>
  <c r="B2" i="3" s="1"/>
  <c r="K10" i="4"/>
  <c r="C25" i="4"/>
  <c r="C12" i="4"/>
  <c r="D25" i="4"/>
  <c r="D24" i="4"/>
  <c r="E24" i="4"/>
  <c r="F24" i="4"/>
  <c r="G24" i="4"/>
  <c r="C24" i="4"/>
  <c r="D11" i="4"/>
  <c r="D12" i="4" s="1"/>
  <c r="E11" i="4"/>
  <c r="F11" i="4"/>
  <c r="G11" i="4"/>
  <c r="C11" i="4"/>
  <c r="D5" i="5"/>
  <c r="C5" i="5"/>
  <c r="B5" i="5"/>
  <c r="D4" i="5"/>
  <c r="C4" i="5"/>
  <c r="B4" i="5"/>
  <c r="D3" i="5"/>
  <c r="C3" i="5"/>
  <c r="B4" i="3" l="1"/>
  <c r="E25" i="4" l="1"/>
  <c r="F20" i="4"/>
  <c r="F25" i="4" s="1"/>
  <c r="G20" i="4"/>
  <c r="E7" i="4"/>
  <c r="E12" i="4" s="1"/>
  <c r="F7" i="4"/>
  <c r="F12" i="4" s="1"/>
  <c r="B5" i="2" l="1"/>
  <c r="G12" i="4"/>
  <c r="B3" i="2"/>
  <c r="B4" i="2"/>
  <c r="G25" i="4"/>
  <c r="B3" i="3"/>
  <c r="D8" i="4" l="1"/>
  <c r="D9" i="4" s="1"/>
  <c r="F8" i="4"/>
  <c r="F9" i="4" s="1"/>
  <c r="F21" i="4"/>
  <c r="F22" i="4" s="1"/>
  <c r="E21" i="4"/>
  <c r="E22" i="4" s="1"/>
  <c r="E8" i="4"/>
  <c r="E9" i="4" s="1"/>
  <c r="G8" i="4" l="1"/>
  <c r="G9" i="4" s="1"/>
  <c r="A5" i="5"/>
  <c r="G21" i="4"/>
  <c r="G22" i="4" s="1"/>
  <c r="A4" i="5"/>
  <c r="A4" i="2"/>
  <c r="D21" i="4"/>
  <c r="D22" i="4" s="1"/>
  <c r="A3" i="5"/>
  <c r="A3" i="2"/>
  <c r="C4" i="2" l="1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B1" authorId="0" shapeId="0" xr:uid="{7B92FD06-FE8D-4C61-9A23-3AA36E43FCFA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In euro totali
</t>
        </r>
      </text>
    </comment>
    <comment ref="A5" authorId="0" shapeId="0" xr:uid="{1034DA71-6109-44C0-9094-3BCE06243C3C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EXTRAPOLATED FOR LARGER SIZES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A6" authorId="0" shapeId="0" xr:uid="{59747281-07D3-4DCE-BDD0-69E2E6DC2FBF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EXTRAPOLATED FOR LARGER SIZES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A5" authorId="0" shapeId="0" xr:uid="{85FE4FC7-4322-4255-AC19-69B46725FD92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EXTRAPOLATED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Bertoni, L. (Luca)</author>
  </authors>
  <commentList>
    <comment ref="A6" authorId="0" shapeId="0" xr:uid="{A4D6E8CB-D7FE-4625-9A12-93585CE13DC0}">
      <text>
        <r>
          <rPr>
            <b/>
            <sz val="9"/>
            <color indexed="81"/>
            <rFont val="Tahoma"/>
            <charset val="1"/>
          </rPr>
          <t>Bertoni, L. (Luca):</t>
        </r>
        <r>
          <rPr>
            <sz val="9"/>
            <color indexed="81"/>
            <rFont val="Tahoma"/>
            <charset val="1"/>
          </rPr>
          <t xml:space="preserve">
EXTRAPOLATED VALUES</t>
        </r>
      </text>
    </comment>
  </commentList>
</comments>
</file>

<file path=xl/sharedStrings.xml><?xml version="1.0" encoding="utf-8"?>
<sst xmlns="http://schemas.openxmlformats.org/spreadsheetml/2006/main" count="176" uniqueCount="64">
  <si>
    <t>size_tclinker_per_h</t>
  </si>
  <si>
    <t>capex_eur</t>
  </si>
  <si>
    <t>size_tco2out_per_h</t>
  </si>
  <si>
    <r>
      <t>CEMCAP ref. plant 3000 tpd of clinker production - 0,85 MtCO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/y</t>
    </r>
  </si>
  <si>
    <t>CAPEX [M€]</t>
  </si>
  <si>
    <r>
      <t>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removal rate (direct emissions)</t>
    </r>
  </si>
  <si>
    <t>P.Oxy only</t>
  </si>
  <si>
    <t>MEA 30% - 95%CCR</t>
  </si>
  <si>
    <t>MEA 50% - 95%CCR</t>
  </si>
  <si>
    <t>MEA 80% - 95%CCR</t>
  </si>
  <si>
    <t>MEA 100% - 95%CCR</t>
  </si>
  <si>
    <r>
      <t>Cement plant 1800 tpd of clinker production - 0,51 MtCO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/y</t>
    </r>
  </si>
  <si>
    <t>-</t>
  </si>
  <si>
    <t>MEA capacity t/h CO2 out</t>
  </si>
  <si>
    <t>CAPEX in EUR</t>
  </si>
  <si>
    <t>specific capex eur/(t_out/h)</t>
  </si>
  <si>
    <t>specific capex Meur/(t_out/h)</t>
  </si>
  <si>
    <t>No CCS</t>
  </si>
  <si>
    <t>Clinker production, tpd</t>
  </si>
  <si>
    <t>CO2 basic cement plant, kg/s</t>
  </si>
  <si>
    <t>CO2 p.oxy cement plant, kg/s</t>
  </si>
  <si>
    <t>CO2 emission</t>
  </si>
  <si>
    <t>CO2 capture by MEA, kg/s</t>
  </si>
  <si>
    <t>Total CO2 captured, kg/s</t>
  </si>
  <si>
    <t>Direct CO2 avoided, kg/s</t>
  </si>
  <si>
    <t>Actual direct CO2 avoided, kg/s</t>
  </si>
  <si>
    <t>CO2 avoidance rate (direct emission)</t>
  </si>
  <si>
    <t>kgfuel/s</t>
  </si>
  <si>
    <t>Oxygen consumption, kg/s</t>
  </si>
  <si>
    <t>MEA reb duty, MW</t>
  </si>
  <si>
    <t>MEA reb duty, MJ/kgCO2</t>
  </si>
  <si>
    <t>ASU electric power, MW</t>
  </si>
  <si>
    <t>CO2 recycle fan power, MW</t>
  </si>
  <si>
    <t>MEA specific electric power consumption, kWh/tCO2</t>
  </si>
  <si>
    <t>MEA electric power consumption, MW</t>
  </si>
  <si>
    <t>Thermal Power available for recovery, kW</t>
  </si>
  <si>
    <t>Net th. Power consumtpion MEA, MW</t>
  </si>
  <si>
    <t xml:space="preserve">Electricity cons, KW (ASU+CO2recyfan+MEA pumps/fans) </t>
  </si>
  <si>
    <t xml:space="preserve">Clinker emis. factor, kgCO2/tCLK </t>
  </si>
  <si>
    <t>Sp. Fuel consumption, MJ/tCLK</t>
  </si>
  <si>
    <t>CEMCAP ref. plant 3000 tpd of clinker production - 0,85 MtCO2/y () - high CO2</t>
  </si>
  <si>
    <t>∆th. Power cons., MJ/kgCO2</t>
  </si>
  <si>
    <t>∆el. Power cons., kWh/tCO2</t>
  </si>
  <si>
    <t>CEMCAP ref. plant 1800 tpd of clinker production - 0,51 MtCO2/y - high CO2</t>
  </si>
  <si>
    <t>thermal_consumption_oxy</t>
  </si>
  <si>
    <t>electric_consumption_oxy</t>
  </si>
  <si>
    <t>electric_consumption_mea</t>
  </si>
  <si>
    <t>MWh/t_co2_out</t>
  </si>
  <si>
    <t>beta_oxy</t>
  </si>
  <si>
    <t>alpha_oxy</t>
  </si>
  <si>
    <t>alpha_mea</t>
  </si>
  <si>
    <t>value</t>
  </si>
  <si>
    <t>el_cons_cpu</t>
  </si>
  <si>
    <t>electricity_cons_MWh/tCO2</t>
  </si>
  <si>
    <t>liquid</t>
  </si>
  <si>
    <t>gas</t>
  </si>
  <si>
    <t>supercritical</t>
  </si>
  <si>
    <t>el_cons_compressor</t>
  </si>
  <si>
    <t>Net electricity production from steam cycle, MWe</t>
  </si>
  <si>
    <t>fixed OPEX Meur</t>
  </si>
  <si>
    <t>fixed OPEX MEA Meur</t>
  </si>
  <si>
    <t>fixed OPEX Fraction of capex</t>
  </si>
  <si>
    <t>electricity_recovery_oxy</t>
  </si>
  <si>
    <t>el_recovery_oxy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</si>
</sst>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11" applyNumberFormat="0" applyFill="0" applyAlignment="0" applyProtection="0"/>
    <xf numFmtId="0" fontId="4" fillId="2" borderId="12" applyNumberFormat="0" applyAlignment="0" applyProtection="0"/>
    <xf numFmtId="0" fontId="5" fillId="3" borderId="13" applyNumberFormat="0" applyAlignment="0" applyProtection="0"/>
    <xf numFmtId="0" fontId="6" fillId="3" borderId="12" applyNumberFormat="0" applyAlignment="0" applyProtection="0"/>
  </cellStyleXfs>
  <cellXfs count="34">
    <xf numFmtId="0" fontId="0" fillId="0" borderId="0" xfId="0"/>
    <xf numFmtId="9" fontId="0" fillId="0" borderId="0" xfId="0" applyNumberFormat="1"/>
    <xf numFmtId="9" fontId="0" fillId="0" borderId="6" xfId="0" applyNumberFormat="1" applyBorder="1"/>
    <xf numFmtId="0" fontId="0" fillId="0" borderId="0" xfId="0" applyAlignment="1">
      <alignment horizontal="center" vertical="center"/>
    </xf>
    <xf numFmtId="0" fontId="4" fillId="2" borderId="12" xfId="3"/>
    <xf numFmtId="0" fontId="6" fillId="3" borderId="12" xfId="5"/>
    <xf numFmtId="9" fontId="6" fillId="3" borderId="12" xfId="5" applyNumberFormat="1"/>
    <xf numFmtId="0" fontId="5" fillId="3" borderId="13" xfId="4"/>
    <xf numFmtId="164" fontId="5" fillId="3" borderId="13" xfId="4" applyNumberFormat="1"/>
    <xf numFmtId="9" fontId="4" fillId="2" borderId="12" xfId="1" applyFont="1" applyFill="1" applyBorder="1"/>
    <xf numFmtId="0" fontId="3" fillId="0" borderId="11" xfId="2" applyAlignment="1">
      <alignment horizontal="center" vertical="center"/>
    </xf>
    <xf numFmtId="0" fontId="4" fillId="2" borderId="12" xfId="3" applyAlignment="1">
      <alignment horizontal="center" vertical="center"/>
    </xf>
    <xf numFmtId="2" fontId="0" fillId="0" borderId="0" xfId="0" applyNumberFormat="1" applyAlignment="1">
      <alignment vertical="center"/>
    </xf>
    <xf numFmtId="2" fontId="7" fillId="0" borderId="0" xfId="0" applyNumberFormat="1" applyFont="1"/>
    <xf numFmtId="164" fontId="0" fillId="0" borderId="0" xfId="1" applyNumberFormat="1" applyFont="1"/>
    <xf numFmtId="0" fontId="10" fillId="0" borderId="0" xfId="0" applyFont="1"/>
    <xf numFmtId="0" fontId="5" fillId="3" borderId="0" xfId="4" applyBorder="1"/>
    <xf numFmtId="9" fontId="0" fillId="0" borderId="0" xfId="1" applyFont="1"/>
    <xf numFmtId="0" fontId="5" fillId="4" borderId="13" xfId="4" applyFill="1"/>
    <xf numFmtId="0" fontId="5" fillId="5" borderId="13" xfId="4" applyFill="1"/>
    <xf numFmtId="2" fontId="0" fillId="0" borderId="0" xfId="0" applyNumberFormat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2" borderId="12" xfId="3" applyAlignment="1">
      <alignment horizontal="center" vertical="center"/>
    </xf>
  </cellXfs>
  <cellStyles count="6">
    <cellStyle name="Calculation" xfId="5" builtinId="22"/>
    <cellStyle name="Heading 3" xfId="2" builtinId="18"/>
    <cellStyle name="Input" xfId="3" builtinId="20"/>
    <cellStyle name="Normal" xfId="0" builtinId="0"/>
    <cellStyle name="Output" xfId="4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3924970-DEDD-4F4D-AF29-711825A865F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842edf6-2ce3-4477-964f-d61e0e183d7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EB36-8885-41F7-B3E9-60083815A79B}">
  <dimension ref="A1:B5"/>
  <sheetViews>
    <sheetView workbookViewId="0">
      <selection activeCell="C2" sqref="C2"/>
    </sheetView>
  </sheetViews>
  <sheetFormatPr defaultRowHeight="15" x14ac:dyDescent="0.25"/>
  <cols>
    <col min="1" max="1" width="17.85546875" bestFit="1" customWidth="1"/>
    <col min="2" max="2" width="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75</v>
      </c>
      <c r="B3">
        <v>50760000</v>
      </c>
    </row>
    <row r="4" spans="1:2" x14ac:dyDescent="0.25">
      <c r="A4">
        <v>125</v>
      </c>
      <c r="B4">
        <v>72350000</v>
      </c>
    </row>
    <row r="5" spans="1:2" x14ac:dyDescent="0.25">
      <c r="A5" s="21">
        <v>220</v>
      </c>
      <c r="B5" s="21">
        <f>_xlfn.FORECAST.LINEAR($A$5, B3:B4, $A$3:$A$4)</f>
        <v>113371000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E0F8A-1C59-405C-B3D0-EB533A2330E6}">
  <dimension ref="A1:C6"/>
  <sheetViews>
    <sheetView workbookViewId="0">
      <selection activeCell="C2" sqref="C2"/>
    </sheetView>
  </sheetViews>
  <sheetFormatPr defaultRowHeight="15" x14ac:dyDescent="0.25"/>
  <cols>
    <col min="1" max="1" width="17.85546875" bestFit="1" customWidth="1"/>
    <col min="2" max="2" width="12" bestFit="1" customWidth="1"/>
  </cols>
  <sheetData>
    <row r="1" spans="1:3" x14ac:dyDescent="0.25">
      <c r="A1" t="s">
        <v>2</v>
      </c>
      <c r="B1" t="s">
        <v>1</v>
      </c>
    </row>
    <row r="2" spans="1:3" x14ac:dyDescent="0.25">
      <c r="A2">
        <v>0</v>
      </c>
      <c r="B2">
        <v>0</v>
      </c>
    </row>
    <row r="3" spans="1:3" x14ac:dyDescent="0.25">
      <c r="A3">
        <f>calculations!D19</f>
        <v>4.4302472880300003</v>
      </c>
      <c r="B3">
        <f>calculations!D20</f>
        <v>13962331.812465826</v>
      </c>
    </row>
    <row r="4" spans="1:3" x14ac:dyDescent="0.25">
      <c r="A4">
        <f>calculations!G19</f>
        <v>14.767490960100002</v>
      </c>
      <c r="B4">
        <f>calculations!G20</f>
        <v>25360000.000000007</v>
      </c>
      <c r="C4">
        <f>B4/A4</f>
        <v>1717285.6288532494</v>
      </c>
    </row>
    <row r="5" spans="1:3" x14ac:dyDescent="0.25">
      <c r="A5">
        <f>calculations!G6</f>
        <v>24.418823252400006</v>
      </c>
      <c r="B5">
        <f>calculations!G7</f>
        <v>26820000.000000007</v>
      </c>
    </row>
    <row r="6" spans="1:3" x14ac:dyDescent="0.25">
      <c r="A6" s="21">
        <v>50</v>
      </c>
      <c r="B6" s="21">
        <f>_xlfn.FORECAST.LINEAR($A$6, B4:B5, $A$4:$A$5)</f>
        <v>30689778.48449932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FFB0-96B6-4F96-B3DF-E2D36B37C43F}">
  <dimension ref="A1:D5"/>
  <sheetViews>
    <sheetView workbookViewId="0">
      <selection activeCell="A6" sqref="A6"/>
    </sheetView>
  </sheetViews>
  <sheetFormatPr defaultRowHeight="15" x14ac:dyDescent="0.25"/>
  <sheetData>
    <row r="1" spans="1:4" x14ac:dyDescent="0.25">
      <c r="A1" t="s">
        <v>2</v>
      </c>
      <c r="B1" t="s">
        <v>54</v>
      </c>
      <c r="C1" t="s">
        <v>55</v>
      </c>
      <c r="D1" t="s">
        <v>56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v>75</v>
      </c>
      <c r="B3">
        <v>48600000</v>
      </c>
      <c r="C3">
        <v>50200000</v>
      </c>
      <c r="D3">
        <v>61000000</v>
      </c>
    </row>
    <row r="4" spans="1:4" x14ac:dyDescent="0.25">
      <c r="A4">
        <v>125</v>
      </c>
      <c r="B4">
        <v>62500000</v>
      </c>
      <c r="C4">
        <v>63300000</v>
      </c>
      <c r="D4">
        <v>71600000</v>
      </c>
    </row>
    <row r="5" spans="1:4" x14ac:dyDescent="0.25">
      <c r="A5" s="21">
        <v>220</v>
      </c>
      <c r="B5" s="21">
        <f>_xlfn.FORECAST.LINEAR($A$5, B3:B4, $A$3:$A$4)</f>
        <v>88910000</v>
      </c>
      <c r="C5" s="21">
        <f t="shared" ref="C5:D5" si="0">_xlfn.FORECAST.LINEAR($A$5, C3:C4, $A$3:$A$4)</f>
        <v>88190000</v>
      </c>
      <c r="D5" s="21">
        <f t="shared" si="0"/>
        <v>91740000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DE27-F5E7-40F1-8502-5CC793EB5921}">
  <dimension ref="A1:D6"/>
  <sheetViews>
    <sheetView workbookViewId="0">
      <selection activeCell="A6" sqref="A6:D6"/>
    </sheetView>
  </sheetViews>
  <sheetFormatPr defaultRowHeight="15" x14ac:dyDescent="0.25"/>
  <cols>
    <col min="1" max="1" width="17.85546875" bestFit="1" customWidth="1"/>
    <col min="2" max="2" width="12.140625" bestFit="1" customWidth="1"/>
    <col min="3" max="3" width="12" bestFit="1" customWidth="1"/>
    <col min="4" max="4" width="18.42578125" bestFit="1" customWidth="1"/>
  </cols>
  <sheetData>
    <row r="1" spans="1:4" x14ac:dyDescent="0.25">
      <c r="A1" t="s">
        <v>2</v>
      </c>
      <c r="B1" t="s">
        <v>54</v>
      </c>
      <c r="C1" t="s">
        <v>55</v>
      </c>
      <c r="D1" t="s">
        <v>56</v>
      </c>
    </row>
    <row r="2" spans="1:4" x14ac:dyDescent="0.25">
      <c r="A2">
        <v>0</v>
      </c>
      <c r="B2">
        <v>0</v>
      </c>
      <c r="C2">
        <v>0</v>
      </c>
      <c r="D2">
        <v>0</v>
      </c>
    </row>
    <row r="3" spans="1:4" x14ac:dyDescent="0.25">
      <c r="A3">
        <f>calculations!D19</f>
        <v>4.4302472880300003</v>
      </c>
      <c r="B3">
        <v>7530000</v>
      </c>
      <c r="C3">
        <f>8.00649089380739*10^6</f>
        <v>8006490.8938073898</v>
      </c>
      <c r="D3">
        <f>10.684945673991*10^6</f>
        <v>10684945.673991</v>
      </c>
    </row>
    <row r="4" spans="1:4" x14ac:dyDescent="0.25">
      <c r="A4">
        <f>calculations!G19</f>
        <v>14.767490960100002</v>
      </c>
      <c r="B4">
        <f>11.2041255209316*10^6</f>
        <v>11204125.5209316</v>
      </c>
      <c r="C4">
        <f>12.5665678479893*10^6</f>
        <v>12566567.847989298</v>
      </c>
      <c r="D4">
        <f>16.5887397694844*10^6</f>
        <v>16588739.769484399</v>
      </c>
    </row>
    <row r="5" spans="1:4" x14ac:dyDescent="0.25">
      <c r="A5">
        <f>calculations!G6</f>
        <v>24.418823252400006</v>
      </c>
      <c r="B5">
        <f>13.2435084663724*10^6</f>
        <v>13243508.466372401</v>
      </c>
      <c r="C5">
        <f>15.1282369696705*10^6</f>
        <v>15128236.969670501</v>
      </c>
      <c r="D5">
        <f>19.9398066221897*10^6</f>
        <v>19939806.622189701</v>
      </c>
    </row>
    <row r="6" spans="1:4" x14ac:dyDescent="0.25">
      <c r="A6" s="21">
        <v>50</v>
      </c>
      <c r="B6" s="21">
        <f>_xlfn.FORECAST.LINEAR($A$6, B4:B5, A4:A5)</f>
        <v>18648960.688236542</v>
      </c>
      <c r="C6" s="21">
        <f>_xlfn.FORECAST.LINEAR($A$6, C4:C5, A4:A5)</f>
        <v>21918026.046032257</v>
      </c>
      <c r="D6" s="21">
        <f>_xlfn.FORECAST.LINEAR($A$6, D4:D5, A4:A5)</f>
        <v>28821920.599393677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2579-C7D8-42EE-9801-1FD637D0A17F}">
  <dimension ref="A1:B5"/>
  <sheetViews>
    <sheetView tabSelected="1" workbookViewId="0">
      <selection activeCell="A6" sqref="A6"/>
    </sheetView>
  </sheetViews>
  <sheetFormatPr defaultRowHeight="15" x14ac:dyDescent="0.25"/>
  <cols>
    <col min="1" max="1" width="13.5703125" bestFit="1" customWidth="1"/>
  </cols>
  <sheetData>
    <row r="1" spans="1:2" x14ac:dyDescent="0.25">
      <c r="B1" t="s">
        <v>51</v>
      </c>
    </row>
    <row r="2" spans="1:2" x14ac:dyDescent="0.25">
      <c r="A2" t="s">
        <v>48</v>
      </c>
      <c r="B2">
        <f>calculations!C39</f>
        <v>0.3128088466592428</v>
      </c>
    </row>
    <row r="3" spans="1:2" x14ac:dyDescent="0.25">
      <c r="A3" t="s">
        <v>49</v>
      </c>
      <c r="B3">
        <f>calculations!C40</f>
        <v>7.833563329433206E-2</v>
      </c>
    </row>
    <row r="4" spans="1:2" x14ac:dyDescent="0.25">
      <c r="A4" t="s">
        <v>50</v>
      </c>
      <c r="B4">
        <f>calculations!C41</f>
        <v>3.8587338925408297E-2</v>
      </c>
    </row>
    <row r="5" spans="1:2" x14ac:dyDescent="0.25">
      <c r="A5" t="s">
        <v>63</v>
      </c>
      <c r="B5">
        <f>calculations!C38</f>
        <v>0.10637012744588423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85F42-04E5-4941-B133-36036095D1EF}">
  <dimension ref="A1:D7"/>
  <sheetViews>
    <sheetView workbookViewId="0">
      <selection activeCell="D4" sqref="D4:D7"/>
    </sheetView>
  </sheetViews>
  <sheetFormatPr defaultRowHeight="15" x14ac:dyDescent="0.25"/>
  <cols>
    <col min="1" max="1" width="25.140625" bestFit="1" customWidth="1"/>
  </cols>
  <sheetData>
    <row r="1" spans="1:4" x14ac:dyDescent="0.25">
      <c r="A1" t="s">
        <v>53</v>
      </c>
      <c r="B1" t="s">
        <v>54</v>
      </c>
      <c r="C1" t="s">
        <v>55</v>
      </c>
      <c r="D1" t="s">
        <v>56</v>
      </c>
    </row>
    <row r="2" spans="1:4" x14ac:dyDescent="0.25">
      <c r="A2" t="s">
        <v>52</v>
      </c>
      <c r="B2" s="12">
        <v>0.17050594000000002</v>
      </c>
      <c r="C2" s="12">
        <v>0.120245032</v>
      </c>
      <c r="D2" s="12">
        <v>0.13739152500000001</v>
      </c>
    </row>
    <row r="3" spans="1:4" x14ac:dyDescent="0.25">
      <c r="A3" t="s">
        <v>57</v>
      </c>
      <c r="B3" s="13">
        <v>0.11930297990344463</v>
      </c>
      <c r="C3" s="13">
        <v>7.4589551950173874E-2</v>
      </c>
      <c r="D3" s="13">
        <v>8.9737128657946114E-2</v>
      </c>
    </row>
    <row r="6" spans="1:4" x14ac:dyDescent="0.25">
      <c r="D6" s="20"/>
    </row>
    <row r="7" spans="1:4" x14ac:dyDescent="0.25">
      <c r="D7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D47C-565F-4352-814A-A37F11C35FBF}">
  <dimension ref="A1:T57"/>
  <sheetViews>
    <sheetView topLeftCell="A25" zoomScale="115" zoomScaleNormal="115" workbookViewId="0">
      <selection activeCell="A38" sqref="A38"/>
    </sheetView>
  </sheetViews>
  <sheetFormatPr defaultRowHeight="15" x14ac:dyDescent="0.25"/>
  <cols>
    <col min="1" max="1" width="26.28515625" bestFit="1" customWidth="1"/>
    <col min="2" max="2" width="31.85546875" customWidth="1"/>
    <col min="3" max="3" width="12.5703125" bestFit="1" customWidth="1"/>
    <col min="4" max="4" width="12" bestFit="1" customWidth="1"/>
    <col min="14" max="14" width="52" bestFit="1" customWidth="1"/>
  </cols>
  <sheetData>
    <row r="1" spans="1:20" ht="18.75" thickBot="1" x14ac:dyDescent="0.4">
      <c r="A1" s="22" t="s">
        <v>3</v>
      </c>
      <c r="B1" s="23"/>
      <c r="C1" s="23"/>
      <c r="D1" s="23"/>
      <c r="E1" s="23"/>
      <c r="F1" s="23"/>
      <c r="G1" s="24"/>
      <c r="N1" s="10"/>
      <c r="O1" s="10" t="s">
        <v>40</v>
      </c>
      <c r="P1" s="10"/>
      <c r="Q1" s="10"/>
      <c r="R1" s="10"/>
      <c r="S1" s="10"/>
      <c r="T1" s="3"/>
    </row>
    <row r="2" spans="1:20" ht="18" x14ac:dyDescent="0.35">
      <c r="A2" s="25" t="s">
        <v>4</v>
      </c>
      <c r="B2" s="26"/>
      <c r="C2" s="31" t="s">
        <v>5</v>
      </c>
      <c r="D2" s="31"/>
      <c r="E2" s="31"/>
      <c r="F2" s="31"/>
      <c r="G2" s="32"/>
      <c r="N2" s="3"/>
      <c r="O2" s="3" t="s">
        <v>17</v>
      </c>
      <c r="P2" s="3" t="s">
        <v>6</v>
      </c>
      <c r="Q2" s="3" t="s">
        <v>7</v>
      </c>
      <c r="R2" s="3" t="s">
        <v>8</v>
      </c>
      <c r="S2" s="3" t="s">
        <v>9</v>
      </c>
      <c r="T2" s="3" t="s">
        <v>10</v>
      </c>
    </row>
    <row r="3" spans="1:20" x14ac:dyDescent="0.25">
      <c r="A3" s="27"/>
      <c r="B3" s="28"/>
      <c r="C3" s="1" t="s">
        <v>6</v>
      </c>
      <c r="D3" s="1" t="s">
        <v>7</v>
      </c>
      <c r="E3" s="1" t="s">
        <v>8</v>
      </c>
      <c r="F3" s="1" t="s">
        <v>9</v>
      </c>
      <c r="G3" s="2" t="s">
        <v>10</v>
      </c>
      <c r="N3" s="3" t="s">
        <v>18</v>
      </c>
      <c r="O3" s="11">
        <v>3000.0035074612701</v>
      </c>
      <c r="P3" s="11">
        <v>2999.91944736</v>
      </c>
      <c r="Q3" s="11">
        <v>2999.91944736</v>
      </c>
      <c r="R3" s="11">
        <v>2999.91944736</v>
      </c>
      <c r="S3" s="11">
        <v>2999.91944736</v>
      </c>
      <c r="T3" s="11">
        <v>2999.91944736</v>
      </c>
    </row>
    <row r="4" spans="1:20" x14ac:dyDescent="0.25">
      <c r="A4" s="27"/>
      <c r="B4" s="28"/>
      <c r="C4" s="33">
        <v>72.349999999999994</v>
      </c>
      <c r="D4" s="33">
        <v>84.320988516056687</v>
      </c>
      <c r="E4" s="33">
        <v>89.206549352337717</v>
      </c>
      <c r="F4" s="33">
        <v>95.445590190807295</v>
      </c>
      <c r="G4" s="33">
        <v>99.17</v>
      </c>
      <c r="N4" s="3" t="s">
        <v>19</v>
      </c>
      <c r="O4" s="11">
        <v>29.839568333333332</v>
      </c>
      <c r="P4" s="11" t="s">
        <v>12</v>
      </c>
      <c r="Q4" s="11" t="s">
        <v>12</v>
      </c>
      <c r="R4" s="11" t="s">
        <v>12</v>
      </c>
      <c r="S4" s="11" t="s">
        <v>12</v>
      </c>
      <c r="T4" s="11" t="s">
        <v>12</v>
      </c>
    </row>
    <row r="5" spans="1:20" x14ac:dyDescent="0.25">
      <c r="A5" s="29"/>
      <c r="B5" s="30"/>
      <c r="C5" s="33"/>
      <c r="D5" s="33"/>
      <c r="E5" s="33"/>
      <c r="F5" s="33"/>
      <c r="G5" s="33"/>
      <c r="L5">
        <f>1-P6/P5</f>
        <v>0.78184911505744248</v>
      </c>
      <c r="N5" s="3" t="s">
        <v>20</v>
      </c>
      <c r="O5" s="11" t="s">
        <v>12</v>
      </c>
      <c r="P5" s="11">
        <v>32.665832100000003</v>
      </c>
      <c r="Q5" s="11">
        <v>32.665832100000003</v>
      </c>
      <c r="R5" s="11">
        <v>32.665832100000003</v>
      </c>
      <c r="S5" s="11">
        <v>32.665832100000003</v>
      </c>
      <c r="T5" s="11">
        <v>32.665832100000003</v>
      </c>
    </row>
    <row r="6" spans="1:20" x14ac:dyDescent="0.25">
      <c r="B6" s="7" t="s">
        <v>13</v>
      </c>
      <c r="C6" s="7">
        <v>0</v>
      </c>
      <c r="D6" s="7">
        <f>Q7*3600/1000</f>
        <v>7.3256469757200033</v>
      </c>
      <c r="E6" s="7">
        <f t="shared" ref="E6:G6" si="0">R7*3600/1000</f>
        <v>12.209411626200003</v>
      </c>
      <c r="F6" s="7">
        <f t="shared" si="0"/>
        <v>19.535058601920007</v>
      </c>
      <c r="G6" s="18">
        <f t="shared" si="0"/>
        <v>24.418823252400006</v>
      </c>
      <c r="N6" s="3" t="s">
        <v>21</v>
      </c>
      <c r="O6" s="11">
        <v>29.839568333333332</v>
      </c>
      <c r="P6" s="11">
        <v>7.1260801800000015</v>
      </c>
      <c r="Q6" s="11">
        <v>5.0911782423000007</v>
      </c>
      <c r="R6" s="11">
        <v>3.7345769505000006</v>
      </c>
      <c r="S6" s="11">
        <v>1.6996750128</v>
      </c>
      <c r="T6" s="11">
        <v>0.343073721</v>
      </c>
    </row>
    <row r="7" spans="1:20" x14ac:dyDescent="0.25">
      <c r="B7" s="7" t="s">
        <v>14</v>
      </c>
      <c r="C7" s="7"/>
      <c r="D7" s="7">
        <f>(D4-$C$4)*10^6</f>
        <v>11970988.516056692</v>
      </c>
      <c r="E7" s="7">
        <f t="shared" ref="E7:F7" si="1">(E4-$C$4)*10^6</f>
        <v>16856549.352337722</v>
      </c>
      <c r="F7" s="7">
        <f t="shared" si="1"/>
        <v>23095590.190807302</v>
      </c>
      <c r="G7" s="7">
        <f>(G4-$C$4)*10^6</f>
        <v>26820000.000000007</v>
      </c>
      <c r="N7" s="3" t="s">
        <v>22</v>
      </c>
      <c r="O7" s="11" t="s">
        <v>12</v>
      </c>
      <c r="P7" s="11">
        <v>0</v>
      </c>
      <c r="Q7" s="11">
        <v>2.0349019377000008</v>
      </c>
      <c r="R7" s="11">
        <v>3.3915032295000009</v>
      </c>
      <c r="S7" s="11">
        <v>5.4264051672000013</v>
      </c>
      <c r="T7" s="11">
        <v>6.7830064590000019</v>
      </c>
    </row>
    <row r="8" spans="1:20" x14ac:dyDescent="0.25">
      <c r="B8" s="7" t="s">
        <v>15</v>
      </c>
      <c r="C8" s="7"/>
      <c r="D8" s="7">
        <f>D7/D6</f>
        <v>1634120.3112480205</v>
      </c>
      <c r="E8" s="7">
        <f t="shared" ref="E8:G8" si="2">E7/E6</f>
        <v>1380619.3016021748</v>
      </c>
      <c r="F8" s="7">
        <f t="shared" si="2"/>
        <v>1182263.6758579954</v>
      </c>
      <c r="G8" s="7">
        <f t="shared" si="2"/>
        <v>1098333.0246007657</v>
      </c>
      <c r="N8" s="3" t="s">
        <v>23</v>
      </c>
      <c r="O8" s="11" t="s">
        <v>12</v>
      </c>
      <c r="P8" s="11">
        <v>25.53975192</v>
      </c>
      <c r="Q8" s="11">
        <v>27.574653857700003</v>
      </c>
      <c r="R8" s="11">
        <v>28.931255149500004</v>
      </c>
      <c r="S8" s="11">
        <v>30.966157087200003</v>
      </c>
      <c r="T8" s="11">
        <v>32.322758379</v>
      </c>
    </row>
    <row r="9" spans="1:20" x14ac:dyDescent="0.25">
      <c r="B9" t="s">
        <v>16</v>
      </c>
      <c r="D9">
        <f>D8/10^6</f>
        <v>1.6341203112480205</v>
      </c>
      <c r="E9">
        <f>E8/10^6</f>
        <v>1.3806193016021748</v>
      </c>
      <c r="F9">
        <f>F8/10^6</f>
        <v>1.1822636758579954</v>
      </c>
      <c r="G9">
        <f>G8/10^6</f>
        <v>1.0983330246007657</v>
      </c>
      <c r="N9" s="3" t="s">
        <v>24</v>
      </c>
      <c r="O9" s="11">
        <v>0</v>
      </c>
      <c r="P9" s="11">
        <v>22.71348815333333</v>
      </c>
      <c r="Q9" s="11">
        <v>24.748390091033333</v>
      </c>
      <c r="R9" s="11">
        <v>26.104991382833333</v>
      </c>
      <c r="S9" s="11">
        <v>28.139893320533332</v>
      </c>
      <c r="T9" s="11">
        <v>29.496494612333333</v>
      </c>
    </row>
    <row r="10" spans="1:20" x14ac:dyDescent="0.25">
      <c r="B10" s="16" t="s">
        <v>59</v>
      </c>
      <c r="C10">
        <v>11.9</v>
      </c>
      <c r="D10">
        <v>12.12</v>
      </c>
      <c r="E10">
        <v>12.22</v>
      </c>
      <c r="F10">
        <v>12.4</v>
      </c>
      <c r="G10">
        <v>12.51</v>
      </c>
      <c r="K10">
        <f>P5*3600/1000/125</f>
        <v>0.94077596448000012</v>
      </c>
      <c r="N10" s="3" t="s">
        <v>25</v>
      </c>
      <c r="O10" s="11" t="s">
        <v>12</v>
      </c>
      <c r="P10" s="11">
        <v>19.887224386666659</v>
      </c>
      <c r="Q10" s="11">
        <v>21.922126324366658</v>
      </c>
      <c r="R10" s="11">
        <v>23.278727616166663</v>
      </c>
      <c r="S10" s="11">
        <v>25.313629553866662</v>
      </c>
      <c r="T10" s="11">
        <v>26.670230845666659</v>
      </c>
    </row>
    <row r="11" spans="1:20" x14ac:dyDescent="0.25">
      <c r="B11" s="16" t="s">
        <v>60</v>
      </c>
      <c r="C11">
        <f>C10-$C$10</f>
        <v>0</v>
      </c>
      <c r="D11">
        <f t="shared" ref="D11:G11" si="3">D10-$C$10</f>
        <v>0.21999999999999886</v>
      </c>
      <c r="E11">
        <f t="shared" si="3"/>
        <v>0.32000000000000028</v>
      </c>
      <c r="F11">
        <f t="shared" si="3"/>
        <v>0.5</v>
      </c>
      <c r="G11">
        <f t="shared" si="3"/>
        <v>0.60999999999999943</v>
      </c>
      <c r="N11" s="3" t="s">
        <v>26</v>
      </c>
      <c r="O11" s="11">
        <v>0</v>
      </c>
      <c r="P11" s="11">
        <v>0.76118688781299948</v>
      </c>
      <c r="Q11" s="11">
        <v>0.82938163898930395</v>
      </c>
      <c r="R11" s="11">
        <v>0.87484480644017359</v>
      </c>
      <c r="S11" s="11">
        <v>0.94303955761647806</v>
      </c>
      <c r="T11" s="11">
        <v>0.98850272506734771</v>
      </c>
    </row>
    <row r="12" spans="1:20" x14ac:dyDescent="0.25">
      <c r="B12" s="16" t="s">
        <v>61</v>
      </c>
      <c r="C12" s="17">
        <f>C10/C4</f>
        <v>0.16447823082239116</v>
      </c>
      <c r="D12" s="14">
        <f>D11*10^6/D7</f>
        <v>1.8377763850070759E-2</v>
      </c>
      <c r="E12" s="14">
        <f t="shared" ref="E12:G12" si="4">E11*10^6/E7</f>
        <v>1.8983719224576746E-2</v>
      </c>
      <c r="F12" s="14">
        <f t="shared" si="4"/>
        <v>2.1649154486600396E-2</v>
      </c>
      <c r="G12" s="14">
        <f t="shared" si="4"/>
        <v>2.2744220730797883E-2</v>
      </c>
      <c r="N12" s="3" t="s">
        <v>27</v>
      </c>
      <c r="O12" s="11">
        <v>4.0947408000000003</v>
      </c>
      <c r="P12" s="11">
        <v>5.1419803699999997</v>
      </c>
      <c r="Q12" s="11">
        <v>5.1419803699999997</v>
      </c>
      <c r="R12" s="11">
        <v>5.1419803699999997</v>
      </c>
      <c r="S12" s="11">
        <v>5.1419803699999997</v>
      </c>
      <c r="T12" s="11">
        <v>5.1419803699999997</v>
      </c>
    </row>
    <row r="13" spans="1:20" ht="15.75" thickBot="1" x14ac:dyDescent="0.3">
      <c r="N13" s="3" t="s">
        <v>28</v>
      </c>
      <c r="O13" s="11" t="s">
        <v>12</v>
      </c>
      <c r="P13" s="11">
        <v>8.4990979400000004</v>
      </c>
      <c r="Q13" s="11">
        <v>8.4990979400000004</v>
      </c>
      <c r="R13" s="11">
        <v>8.4990979400000004</v>
      </c>
      <c r="S13" s="11">
        <v>8.4990979400000004</v>
      </c>
      <c r="T13" s="11">
        <v>8.4990979400000004</v>
      </c>
    </row>
    <row r="14" spans="1:20" ht="18" x14ac:dyDescent="0.35">
      <c r="A14" s="22" t="s">
        <v>11</v>
      </c>
      <c r="B14" s="23"/>
      <c r="C14" s="23"/>
      <c r="D14" s="23"/>
      <c r="E14" s="23"/>
      <c r="F14" s="23"/>
      <c r="G14" s="24"/>
      <c r="N14" s="3" t="s">
        <v>29</v>
      </c>
      <c r="O14" s="11" t="s">
        <v>12</v>
      </c>
      <c r="P14" s="11">
        <v>0</v>
      </c>
      <c r="Q14" s="11">
        <v>7.2054566119658183</v>
      </c>
      <c r="R14" s="11">
        <v>12.009094353276362</v>
      </c>
      <c r="S14" s="11">
        <v>19.214550965242179</v>
      </c>
      <c r="T14" s="11">
        <v>24.018188706552724</v>
      </c>
    </row>
    <row r="15" spans="1:20" ht="18" x14ac:dyDescent="0.35">
      <c r="A15" s="25" t="s">
        <v>4</v>
      </c>
      <c r="B15" s="26"/>
      <c r="C15" s="31" t="s">
        <v>5</v>
      </c>
      <c r="D15" s="31"/>
      <c r="E15" s="31"/>
      <c r="F15" s="31"/>
      <c r="G15" s="32"/>
      <c r="N15" s="3" t="s">
        <v>30</v>
      </c>
      <c r="O15" s="11" t="s">
        <v>12</v>
      </c>
      <c r="P15" s="11">
        <v>0</v>
      </c>
      <c r="Q15" s="11">
        <v>3.5409355499999999</v>
      </c>
      <c r="R15" s="11">
        <v>3.5409355499999999</v>
      </c>
      <c r="S15" s="11">
        <v>3.5409355499999999</v>
      </c>
      <c r="T15" s="11">
        <v>3.5409355499999999</v>
      </c>
    </row>
    <row r="16" spans="1:20" x14ac:dyDescent="0.25">
      <c r="A16" s="27"/>
      <c r="B16" s="28"/>
      <c r="C16" s="1" t="s">
        <v>6</v>
      </c>
      <c r="D16" s="1" t="s">
        <v>7</v>
      </c>
      <c r="E16" s="1" t="s">
        <v>8</v>
      </c>
      <c r="F16" s="1" t="s">
        <v>9</v>
      </c>
      <c r="G16" s="2" t="s">
        <v>10</v>
      </c>
      <c r="N16" s="3" t="s">
        <v>31</v>
      </c>
      <c r="O16" s="11" t="s">
        <v>12</v>
      </c>
      <c r="P16" s="11">
        <v>7.0372530900000001</v>
      </c>
      <c r="Q16" s="11">
        <v>7.0372530900000001</v>
      </c>
      <c r="R16" s="11">
        <v>7.0372530900000001</v>
      </c>
      <c r="S16" s="11">
        <v>7.0372530900000001</v>
      </c>
      <c r="T16" s="11">
        <v>7.0372530900000001</v>
      </c>
    </row>
    <row r="17" spans="1:20" x14ac:dyDescent="0.25">
      <c r="A17" s="27"/>
      <c r="B17" s="28"/>
      <c r="C17" s="33">
        <v>50.76</v>
      </c>
      <c r="D17" s="33">
        <v>64.722331812465825</v>
      </c>
      <c r="E17" s="33">
        <v>68.47234583745032</v>
      </c>
      <c r="F17" s="33">
        <v>73.261251641870047</v>
      </c>
      <c r="G17" s="33">
        <v>76.12</v>
      </c>
      <c r="N17" s="3" t="s">
        <v>32</v>
      </c>
      <c r="O17" s="11" t="s">
        <v>12</v>
      </c>
      <c r="P17" s="11">
        <v>0.16516841700000001</v>
      </c>
      <c r="Q17" s="11">
        <v>0.16516841700000001</v>
      </c>
      <c r="R17" s="11">
        <v>0.16516841700000001</v>
      </c>
      <c r="S17" s="11">
        <v>0.16516841700000001</v>
      </c>
      <c r="T17" s="11">
        <v>0.16516841700000001</v>
      </c>
    </row>
    <row r="18" spans="1:20" x14ac:dyDescent="0.25">
      <c r="A18" s="29"/>
      <c r="B18" s="30"/>
      <c r="C18" s="33"/>
      <c r="D18" s="33"/>
      <c r="E18" s="33"/>
      <c r="F18" s="33"/>
      <c r="G18" s="33"/>
      <c r="N18" s="3" t="s">
        <v>33</v>
      </c>
      <c r="O18" s="11" t="s">
        <v>12</v>
      </c>
      <c r="P18" s="11" t="s">
        <v>12</v>
      </c>
      <c r="Q18" s="11">
        <v>38.587338925408297</v>
      </c>
      <c r="R18" s="11">
        <v>38.587338925408297</v>
      </c>
      <c r="S18" s="11">
        <v>38.587338925408297</v>
      </c>
      <c r="T18" s="11">
        <v>38.587338925408297</v>
      </c>
    </row>
    <row r="19" spans="1:20" x14ac:dyDescent="0.25">
      <c r="A19" s="3"/>
      <c r="B19" s="7" t="s">
        <v>13</v>
      </c>
      <c r="C19" s="7">
        <v>0</v>
      </c>
      <c r="D19" s="18">
        <f>Q36*3600/1000</f>
        <v>4.4302472880300003</v>
      </c>
      <c r="E19" s="7">
        <f t="shared" ref="E19:G19" si="5">R36*3600/1000</f>
        <v>7.3837454800500009</v>
      </c>
      <c r="F19" s="19">
        <f>S36*3600/1000</f>
        <v>11.81399276808</v>
      </c>
      <c r="G19" s="18">
        <f t="shared" si="5"/>
        <v>14.767490960100002</v>
      </c>
      <c r="N19" s="3" t="s">
        <v>34</v>
      </c>
      <c r="O19" s="11" t="s">
        <v>12</v>
      </c>
      <c r="P19" s="11" t="s">
        <v>12</v>
      </c>
      <c r="Q19" s="11">
        <v>0.28267722270000001</v>
      </c>
      <c r="R19" s="11">
        <v>0.47112870450000005</v>
      </c>
      <c r="S19" s="11">
        <v>0.75380592720000006</v>
      </c>
      <c r="T19" s="11">
        <v>0.9422574090000001</v>
      </c>
    </row>
    <row r="20" spans="1:20" x14ac:dyDescent="0.25">
      <c r="B20" s="7" t="s">
        <v>14</v>
      </c>
      <c r="C20" s="7"/>
      <c r="D20" s="7">
        <f>(D17-$C$17)*10^6</f>
        <v>13962331.812465826</v>
      </c>
      <c r="E20" s="7">
        <f>(E17-$C$17)*10^6</f>
        <v>17712345.837450322</v>
      </c>
      <c r="F20" s="7">
        <f t="shared" ref="F20:G20" si="6">(F17-$C$17)*10^6</f>
        <v>22501251.641870048</v>
      </c>
      <c r="G20" s="7">
        <f t="shared" si="6"/>
        <v>25360000.000000007</v>
      </c>
      <c r="N20" s="15" t="s">
        <v>58</v>
      </c>
      <c r="O20" s="11" t="s">
        <v>12</v>
      </c>
      <c r="P20" s="11">
        <v>9.7799999999999994</v>
      </c>
      <c r="Q20" s="11" t="s">
        <v>12</v>
      </c>
      <c r="R20" s="11" t="s">
        <v>12</v>
      </c>
      <c r="S20" s="11" t="s">
        <v>12</v>
      </c>
      <c r="T20" s="11" t="s">
        <v>12</v>
      </c>
    </row>
    <row r="21" spans="1:20" x14ac:dyDescent="0.25">
      <c r="B21" s="7" t="s">
        <v>15</v>
      </c>
      <c r="C21" s="7"/>
      <c r="D21" s="7">
        <f>D20/D19</f>
        <v>3151591.9777639457</v>
      </c>
      <c r="E21" s="7">
        <f t="shared" ref="E21" si="7">E20/E19</f>
        <v>2398829.4132438567</v>
      </c>
      <c r="F21" s="7">
        <f>F20/F19</f>
        <v>1904627.1725056195</v>
      </c>
      <c r="G21" s="7">
        <f t="shared" ref="G21" si="8">G20/G19</f>
        <v>1717285.6288532494</v>
      </c>
      <c r="N21" s="3" t="s">
        <v>35</v>
      </c>
      <c r="O21" s="11" t="s">
        <v>12</v>
      </c>
      <c r="P21" s="11">
        <v>34915.217199999999</v>
      </c>
      <c r="Q21" s="11">
        <v>34915.217199999999</v>
      </c>
      <c r="R21" s="11">
        <v>34915.217199999999</v>
      </c>
      <c r="S21" s="11">
        <v>34915.217199999999</v>
      </c>
      <c r="T21" s="11">
        <v>34915.217199999999</v>
      </c>
    </row>
    <row r="22" spans="1:20" x14ac:dyDescent="0.25">
      <c r="B22" t="s">
        <v>16</v>
      </c>
      <c r="D22">
        <f>D21/10^6</f>
        <v>3.1515919777639456</v>
      </c>
      <c r="E22">
        <f t="shared" ref="E22:G22" si="9">E21/10^6</f>
        <v>2.3988294132438566</v>
      </c>
      <c r="F22">
        <f t="shared" si="9"/>
        <v>1.9046271725056194</v>
      </c>
      <c r="G22">
        <f t="shared" si="9"/>
        <v>1.7172856288532494</v>
      </c>
      <c r="N22" s="3" t="s">
        <v>36</v>
      </c>
      <c r="O22" s="11" t="s">
        <v>12</v>
      </c>
      <c r="P22" s="11">
        <v>0</v>
      </c>
      <c r="Q22" s="11">
        <v>-27.709760588034182</v>
      </c>
      <c r="R22" s="11">
        <v>-22.90612284672364</v>
      </c>
      <c r="S22" s="11">
        <v>-15.700666234757822</v>
      </c>
      <c r="T22" s="11">
        <v>-10.897028493447277</v>
      </c>
    </row>
    <row r="23" spans="1:20" x14ac:dyDescent="0.25">
      <c r="B23" s="16" t="s">
        <v>59</v>
      </c>
      <c r="C23">
        <v>9.31</v>
      </c>
      <c r="D23">
        <v>9.67</v>
      </c>
      <c r="E23">
        <v>9.75</v>
      </c>
      <c r="F23">
        <v>9.89</v>
      </c>
      <c r="G23">
        <v>9.98</v>
      </c>
      <c r="N23" s="15" t="s">
        <v>58</v>
      </c>
      <c r="O23" s="11"/>
      <c r="P23" s="11">
        <v>9.7799999999999994</v>
      </c>
      <c r="Q23" s="11">
        <v>0</v>
      </c>
      <c r="R23" s="11">
        <v>0</v>
      </c>
      <c r="S23" s="11">
        <v>0</v>
      </c>
      <c r="T23" s="11">
        <v>0</v>
      </c>
    </row>
    <row r="24" spans="1:20" x14ac:dyDescent="0.25">
      <c r="B24" s="16" t="s">
        <v>60</v>
      </c>
      <c r="C24">
        <f>C23-$C$23</f>
        <v>0</v>
      </c>
      <c r="D24">
        <f t="shared" ref="D24:G24" si="10">D23-$C$23</f>
        <v>0.35999999999999943</v>
      </c>
      <c r="E24">
        <f t="shared" si="10"/>
        <v>0.4399999999999995</v>
      </c>
      <c r="F24">
        <f t="shared" si="10"/>
        <v>0.58000000000000007</v>
      </c>
      <c r="G24">
        <f t="shared" si="10"/>
        <v>0.66999999999999993</v>
      </c>
      <c r="N24" s="3" t="s">
        <v>41</v>
      </c>
      <c r="O24" s="11">
        <v>0</v>
      </c>
      <c r="P24" s="11">
        <v>1.1132666603247092</v>
      </c>
      <c r="Q24" s="11">
        <v>1.0311119215576452</v>
      </c>
      <c r="R24" s="11">
        <v>0.98276255829817882</v>
      </c>
      <c r="S24" s="11">
        <v>0.9181815568988605</v>
      </c>
      <c r="T24" s="11">
        <v>0.87964504737233462</v>
      </c>
    </row>
    <row r="25" spans="1:20" x14ac:dyDescent="0.25">
      <c r="B25" s="16" t="s">
        <v>61</v>
      </c>
      <c r="C25" s="17">
        <f>C10/C4</f>
        <v>0.16447823082239116</v>
      </c>
      <c r="D25" s="14">
        <f>D24*10^6/D20</f>
        <v>2.578365883545217E-2</v>
      </c>
      <c r="E25" s="14">
        <f t="shared" ref="E25" si="11">E24*10^6/E20</f>
        <v>2.4841430041958639E-2</v>
      </c>
      <c r="F25" s="14">
        <f t="shared" ref="F25" si="12">F24*10^6/F20</f>
        <v>2.5776343877722045E-2</v>
      </c>
      <c r="G25" s="14">
        <f t="shared" ref="G25" si="13">G24*10^6/G20</f>
        <v>2.641955835962144E-2</v>
      </c>
      <c r="N25" s="3" t="s">
        <v>37</v>
      </c>
      <c r="O25" s="11">
        <v>0</v>
      </c>
      <c r="P25" s="11">
        <v>-2577.5784929999991</v>
      </c>
      <c r="Q25" s="11">
        <v>7202.7041842227</v>
      </c>
      <c r="R25" s="11">
        <v>7202.8926357045002</v>
      </c>
      <c r="S25" s="11">
        <v>7203.1753129272001</v>
      </c>
      <c r="T25" s="11">
        <v>7203.3637644090004</v>
      </c>
    </row>
    <row r="26" spans="1:20" x14ac:dyDescent="0.25">
      <c r="N26" s="3" t="s">
        <v>42</v>
      </c>
      <c r="O26" s="11">
        <v>0</v>
      </c>
      <c r="P26" s="11">
        <v>-28.03449415155216</v>
      </c>
      <c r="Q26" s="11">
        <v>72.557616592724315</v>
      </c>
      <c r="R26" s="11">
        <v>69.157162369172056</v>
      </c>
      <c r="S26" s="11">
        <v>64.615122429761868</v>
      </c>
      <c r="T26" s="11">
        <v>61.904815039006735</v>
      </c>
    </row>
    <row r="27" spans="1:20" x14ac:dyDescent="0.25">
      <c r="N27" s="3" t="s">
        <v>38</v>
      </c>
      <c r="O27" s="11">
        <v>859.37856325432426</v>
      </c>
      <c r="P27" s="11">
        <v>205.23661996785438</v>
      </c>
      <c r="Q27" s="11">
        <v>146.62987051929775</v>
      </c>
      <c r="R27" s="11">
        <v>107.55870422026</v>
      </c>
      <c r="S27" s="11">
        <v>48.951954771703335</v>
      </c>
      <c r="T27" s="11">
        <v>9.8807884726655857</v>
      </c>
    </row>
    <row r="28" spans="1:20" x14ac:dyDescent="0.25">
      <c r="A28" s="4"/>
      <c r="B28" s="4"/>
      <c r="C28" s="9"/>
      <c r="N28" s="3" t="s">
        <v>39</v>
      </c>
      <c r="O28" s="11">
        <v>3201.7559829909646</v>
      </c>
      <c r="P28" s="11">
        <v>4020.725250921625</v>
      </c>
      <c r="Q28" s="11">
        <v>4020.725250921625</v>
      </c>
      <c r="R28" s="11">
        <v>4020.725250921625</v>
      </c>
      <c r="S28" s="11">
        <v>4020.725250921625</v>
      </c>
      <c r="T28" s="11">
        <v>4020.725250921625</v>
      </c>
    </row>
    <row r="29" spans="1:20" x14ac:dyDescent="0.25">
      <c r="A29" s="4"/>
      <c r="B29" s="4"/>
      <c r="C29" s="9"/>
      <c r="N29" s="3"/>
      <c r="O29" s="3"/>
      <c r="P29" s="3"/>
      <c r="Q29" s="3"/>
      <c r="R29" s="3"/>
      <c r="S29" s="3"/>
      <c r="T29" s="3"/>
    </row>
    <row r="30" spans="1:20" ht="15.75" thickBot="1" x14ac:dyDescent="0.3">
      <c r="A30" s="4"/>
      <c r="B30" s="4"/>
      <c r="C30" s="9"/>
      <c r="N30" s="10"/>
      <c r="O30" s="10" t="s">
        <v>43</v>
      </c>
      <c r="P30" s="10"/>
      <c r="Q30" s="10"/>
      <c r="R30" s="10"/>
      <c r="S30" s="10"/>
      <c r="T30" s="10"/>
    </row>
    <row r="31" spans="1:20" x14ac:dyDescent="0.25">
      <c r="A31" s="5"/>
      <c r="B31" s="5"/>
      <c r="C31" s="6"/>
      <c r="N31" s="3"/>
      <c r="O31" s="3" t="s">
        <v>17</v>
      </c>
      <c r="P31" s="3" t="s">
        <v>6</v>
      </c>
      <c r="Q31" s="3" t="s">
        <v>7</v>
      </c>
      <c r="R31" s="3" t="s">
        <v>8</v>
      </c>
      <c r="S31" s="3" t="s">
        <v>9</v>
      </c>
      <c r="T31" s="3" t="s">
        <v>10</v>
      </c>
    </row>
    <row r="32" spans="1:20" x14ac:dyDescent="0.25">
      <c r="A32" s="7"/>
      <c r="B32" s="7"/>
      <c r="C32" s="7"/>
      <c r="N32" s="3" t="s">
        <v>18</v>
      </c>
      <c r="O32" s="11">
        <v>1800.17599</v>
      </c>
      <c r="P32" s="11">
        <v>1799.9672083200001</v>
      </c>
      <c r="Q32" s="11">
        <v>1799.9672083200001</v>
      </c>
      <c r="R32" s="11">
        <v>1799.9672083200001</v>
      </c>
      <c r="S32" s="11">
        <v>1799.9672083200001</v>
      </c>
      <c r="T32" s="11">
        <v>1799.9672083200001</v>
      </c>
    </row>
    <row r="33" spans="1:20" x14ac:dyDescent="0.25">
      <c r="A33" s="5"/>
      <c r="B33" s="5"/>
      <c r="C33" s="5"/>
      <c r="N33" s="3" t="s">
        <v>19</v>
      </c>
      <c r="O33" s="11">
        <v>17.921465972222222</v>
      </c>
      <c r="P33" s="11" t="s">
        <v>12</v>
      </c>
      <c r="Q33" s="11" t="s">
        <v>12</v>
      </c>
      <c r="R33" s="11" t="s">
        <v>12</v>
      </c>
      <c r="S33" s="11" t="s">
        <v>12</v>
      </c>
      <c r="T33" s="11" t="s">
        <v>12</v>
      </c>
    </row>
    <row r="34" spans="1:20" x14ac:dyDescent="0.25">
      <c r="A34" s="8"/>
      <c r="B34" s="8"/>
      <c r="C34" s="8"/>
      <c r="N34" s="3" t="s">
        <v>20</v>
      </c>
      <c r="O34" s="11" t="s">
        <v>12</v>
      </c>
      <c r="P34" s="11">
        <v>19.661164899999999</v>
      </c>
      <c r="Q34" s="11">
        <v>19.661164899999999</v>
      </c>
      <c r="R34" s="11">
        <v>19.661164899999999</v>
      </c>
      <c r="S34" s="11">
        <v>19.661164899999999</v>
      </c>
      <c r="T34" s="11">
        <v>19.661164899999999</v>
      </c>
    </row>
    <row r="35" spans="1:20" x14ac:dyDescent="0.25">
      <c r="A35" s="5"/>
      <c r="B35" s="5"/>
      <c r="C35" s="5"/>
      <c r="N35" s="3" t="s">
        <v>21</v>
      </c>
      <c r="O35" s="11">
        <v>17.921465972222222</v>
      </c>
      <c r="P35" s="11">
        <v>4.3097686392500005</v>
      </c>
      <c r="Q35" s="11">
        <v>3.0791443925750004</v>
      </c>
      <c r="R35" s="11">
        <v>2.2587282281250003</v>
      </c>
      <c r="S35" s="11">
        <v>1.0281039814499999</v>
      </c>
      <c r="T35" s="11">
        <v>0.207687817</v>
      </c>
    </row>
    <row r="36" spans="1:20" x14ac:dyDescent="0.25">
      <c r="A36" s="8"/>
      <c r="B36" s="8"/>
      <c r="C36" s="8"/>
      <c r="N36" s="3" t="s">
        <v>22</v>
      </c>
      <c r="O36" s="11" t="s">
        <v>12</v>
      </c>
      <c r="P36" s="11">
        <v>0</v>
      </c>
      <c r="Q36" s="11">
        <v>1.2306242466750001</v>
      </c>
      <c r="R36" s="11">
        <v>2.0510404111250002</v>
      </c>
      <c r="S36" s="11">
        <v>3.2816646578000004</v>
      </c>
      <c r="T36" s="11">
        <v>4.1020808222500005</v>
      </c>
    </row>
    <row r="37" spans="1:20" x14ac:dyDescent="0.25">
      <c r="N37" s="3" t="s">
        <v>23</v>
      </c>
      <c r="O37" s="11" t="s">
        <v>12</v>
      </c>
      <c r="P37" s="11">
        <v>15.351396260749999</v>
      </c>
      <c r="Q37" s="11">
        <v>16.582020507425</v>
      </c>
      <c r="R37" s="11">
        <v>17.402436671874998</v>
      </c>
      <c r="S37" s="11">
        <v>18.633060918550001</v>
      </c>
      <c r="T37" s="11">
        <v>19.453477082999999</v>
      </c>
    </row>
    <row r="38" spans="1:20" x14ac:dyDescent="0.25">
      <c r="A38" s="7" t="s">
        <v>62</v>
      </c>
      <c r="B38" s="7" t="s">
        <v>47</v>
      </c>
      <c r="C38" s="7">
        <f>P20/(P8*3600/1000)</f>
        <v>0.10637012744588423</v>
      </c>
      <c r="N38" s="3" t="s">
        <v>24</v>
      </c>
      <c r="O38" s="11">
        <v>0</v>
      </c>
      <c r="P38" s="11">
        <v>13.611697332972222</v>
      </c>
      <c r="Q38" s="11">
        <v>14.842321579647223</v>
      </c>
      <c r="R38" s="11">
        <v>15.662737744097221</v>
      </c>
      <c r="S38" s="11">
        <v>16.893361990772224</v>
      </c>
      <c r="T38" s="11">
        <v>17.713778155222222</v>
      </c>
    </row>
    <row r="39" spans="1:20" x14ac:dyDescent="0.25">
      <c r="A39" s="7" t="s">
        <v>44</v>
      </c>
      <c r="B39" s="7" t="s">
        <v>47</v>
      </c>
      <c r="C39" s="7">
        <f>AVERAGE(P53,P24)*1000/3600</f>
        <v>0.3128088466592428</v>
      </c>
      <c r="N39" s="3" t="s">
        <v>25</v>
      </c>
      <c r="O39" s="11" t="s">
        <v>12</v>
      </c>
      <c r="P39" s="11">
        <v>11.871998405194446</v>
      </c>
      <c r="Q39" s="11">
        <v>13.102622651869446</v>
      </c>
      <c r="R39" s="11">
        <v>13.923038816319444</v>
      </c>
      <c r="S39" s="11">
        <v>15.153663062994447</v>
      </c>
      <c r="T39" s="11">
        <v>15.974079227444445</v>
      </c>
    </row>
    <row r="40" spans="1:20" x14ac:dyDescent="0.25">
      <c r="A40" s="7" t="s">
        <v>45</v>
      </c>
      <c r="B40" s="7" t="s">
        <v>47</v>
      </c>
      <c r="C40" s="7">
        <f>(P16+P17)/(P8*3600/1000)</f>
        <v>7.833563329433206E-2</v>
      </c>
      <c r="N40" s="3" t="s">
        <v>26</v>
      </c>
      <c r="O40" s="11">
        <v>0</v>
      </c>
      <c r="P40" s="11">
        <v>0.75951919078885499</v>
      </c>
      <c r="Q40" s="11">
        <v>0.8281868013840169</v>
      </c>
      <c r="R40" s="11">
        <v>0.87396520844745806</v>
      </c>
      <c r="S40" s="11">
        <v>0.94263281904262008</v>
      </c>
      <c r="T40" s="11">
        <v>0.98841122610606125</v>
      </c>
    </row>
    <row r="41" spans="1:20" x14ac:dyDescent="0.25">
      <c r="A41" s="7" t="s">
        <v>46</v>
      </c>
      <c r="B41" s="7" t="s">
        <v>47</v>
      </c>
      <c r="C41" s="7">
        <f>Q18/1000</f>
        <v>3.8587338925408297E-2</v>
      </c>
      <c r="N41" s="3" t="s">
        <v>27</v>
      </c>
      <c r="O41" s="11">
        <v>2.4618330500000001</v>
      </c>
      <c r="P41" s="11">
        <v>3.1058323420000002</v>
      </c>
      <c r="Q41" s="11">
        <v>3.1058323420000002</v>
      </c>
      <c r="R41" s="11">
        <v>3.1058323420000002</v>
      </c>
      <c r="S41" s="11">
        <v>3.1058323420000002</v>
      </c>
      <c r="T41" s="11">
        <v>3.1058323420000002</v>
      </c>
    </row>
    <row r="42" spans="1:20" x14ac:dyDescent="0.25">
      <c r="N42" s="3" t="s">
        <v>28</v>
      </c>
      <c r="O42" s="11" t="s">
        <v>12</v>
      </c>
      <c r="P42" s="11">
        <v>5.1170056500000003</v>
      </c>
      <c r="Q42" s="11">
        <v>5.1170056500000003</v>
      </c>
      <c r="R42" s="11">
        <v>5.1170056500000003</v>
      </c>
      <c r="S42" s="11">
        <v>5.1170056500000003</v>
      </c>
      <c r="T42" s="11">
        <v>5.1170056500000003</v>
      </c>
    </row>
    <row r="43" spans="1:20" x14ac:dyDescent="0.25">
      <c r="N43" s="3" t="s">
        <v>29</v>
      </c>
      <c r="O43" s="11" t="s">
        <v>12</v>
      </c>
      <c r="P43" s="11">
        <v>0</v>
      </c>
      <c r="Q43" s="11">
        <v>4.3776173654660875</v>
      </c>
      <c r="R43" s="11">
        <v>7.2960289424434794</v>
      </c>
      <c r="S43" s="11">
        <v>11.673646307909568</v>
      </c>
      <c r="T43" s="11">
        <v>14.592057884886959</v>
      </c>
    </row>
    <row r="44" spans="1:20" x14ac:dyDescent="0.25">
      <c r="N44" s="3" t="s">
        <v>30</v>
      </c>
      <c r="O44" s="11" t="s">
        <v>12</v>
      </c>
      <c r="P44" s="11">
        <v>0</v>
      </c>
      <c r="Q44" s="11">
        <v>3.5572331500000001</v>
      </c>
      <c r="R44" s="11">
        <v>3.5572331500000001</v>
      </c>
      <c r="S44" s="11">
        <v>3.5572331500000001</v>
      </c>
      <c r="T44" s="11">
        <v>3.5572331500000001</v>
      </c>
    </row>
    <row r="45" spans="1:20" x14ac:dyDescent="0.25">
      <c r="N45" s="3" t="s">
        <v>31</v>
      </c>
      <c r="O45" s="11" t="s">
        <v>12</v>
      </c>
      <c r="P45" s="11">
        <v>4.2368806800000005</v>
      </c>
      <c r="Q45" s="11">
        <v>4.2368806800000005</v>
      </c>
      <c r="R45" s="11">
        <v>4.2368806800000005</v>
      </c>
      <c r="S45" s="11">
        <v>4.2368806800000005</v>
      </c>
      <c r="T45" s="11">
        <v>4.2368806800000005</v>
      </c>
    </row>
    <row r="46" spans="1:20" x14ac:dyDescent="0.25">
      <c r="N46" s="3" t="s">
        <v>32</v>
      </c>
      <c r="O46" s="11" t="s">
        <v>12</v>
      </c>
      <c r="P46" s="11">
        <v>9.9445346300000001E-2</v>
      </c>
      <c r="Q46" s="11">
        <v>9.9445346300000001E-2</v>
      </c>
      <c r="R46" s="11">
        <v>9.9445346300000001E-2</v>
      </c>
      <c r="S46" s="11">
        <v>9.9445346300000001E-2</v>
      </c>
      <c r="T46" s="11">
        <v>9.9445346300000001E-2</v>
      </c>
    </row>
    <row r="47" spans="1:20" x14ac:dyDescent="0.25">
      <c r="N47" s="3" t="s">
        <v>33</v>
      </c>
      <c r="O47" s="11" t="s">
        <v>12</v>
      </c>
      <c r="P47" s="11" t="s">
        <v>12</v>
      </c>
      <c r="Q47" s="11">
        <v>38.574472030429632</v>
      </c>
      <c r="R47" s="11">
        <v>38.574472030429632</v>
      </c>
      <c r="S47" s="11">
        <v>38.574472030429632</v>
      </c>
      <c r="T47" s="11">
        <v>38.574472030429632</v>
      </c>
    </row>
    <row r="48" spans="1:20" x14ac:dyDescent="0.25">
      <c r="N48" s="3" t="s">
        <v>34</v>
      </c>
      <c r="O48" s="11" t="s">
        <v>12</v>
      </c>
      <c r="P48" s="11" t="s">
        <v>12</v>
      </c>
      <c r="Q48" s="11">
        <v>0.17089445010000001</v>
      </c>
      <c r="R48" s="11">
        <v>0.28482408349999999</v>
      </c>
      <c r="S48" s="11">
        <v>0.45571853359999992</v>
      </c>
      <c r="T48" s="11">
        <v>0.56964816699999998</v>
      </c>
    </row>
    <row r="49" spans="14:20" x14ac:dyDescent="0.25">
      <c r="N49" s="15" t="s">
        <v>58</v>
      </c>
      <c r="O49" s="11" t="s">
        <v>12</v>
      </c>
      <c r="P49" s="11">
        <v>5.89</v>
      </c>
      <c r="Q49" s="11" t="s">
        <v>12</v>
      </c>
      <c r="R49" s="11" t="s">
        <v>12</v>
      </c>
      <c r="S49" s="11" t="s">
        <v>12</v>
      </c>
      <c r="T49" s="11" t="s">
        <v>12</v>
      </c>
    </row>
    <row r="50" spans="14:20" x14ac:dyDescent="0.25">
      <c r="N50" s="3" t="s">
        <v>35</v>
      </c>
      <c r="O50" s="11" t="s">
        <v>12</v>
      </c>
      <c r="P50" s="11">
        <v>21030.427199999998</v>
      </c>
      <c r="Q50" s="11">
        <v>21030.427199999998</v>
      </c>
      <c r="R50" s="11">
        <v>21030.427199999998</v>
      </c>
      <c r="S50" s="11">
        <v>21030.427199999998</v>
      </c>
      <c r="T50" s="11">
        <v>21030.427199999998</v>
      </c>
    </row>
    <row r="51" spans="14:20" x14ac:dyDescent="0.25">
      <c r="N51" s="3" t="s">
        <v>36</v>
      </c>
      <c r="O51" s="11" t="s">
        <v>12</v>
      </c>
      <c r="P51" s="11">
        <v>0</v>
      </c>
      <c r="Q51" s="11">
        <v>-16.652809834533912</v>
      </c>
      <c r="R51" s="11">
        <v>-13.734398257556519</v>
      </c>
      <c r="S51" s="11">
        <v>-9.3567808920904305</v>
      </c>
      <c r="T51" s="11">
        <v>-6.4383693151130394</v>
      </c>
    </row>
    <row r="52" spans="14:20" x14ac:dyDescent="0.25">
      <c r="N52" s="3"/>
      <c r="O52" s="11"/>
      <c r="P52" s="11"/>
      <c r="Q52" s="11">
        <v>0</v>
      </c>
      <c r="R52" s="11">
        <v>0</v>
      </c>
      <c r="S52" s="11">
        <v>0</v>
      </c>
      <c r="T52" s="11">
        <v>0</v>
      </c>
    </row>
    <row r="53" spans="14:20" x14ac:dyDescent="0.25">
      <c r="N53" s="3" t="s">
        <v>41</v>
      </c>
      <c r="O53" s="11">
        <v>0</v>
      </c>
      <c r="P53" s="11">
        <v>1.1389570356218393</v>
      </c>
      <c r="Q53" s="11">
        <v>1.0544300539232154</v>
      </c>
      <c r="R53" s="11">
        <v>1.0047202646085629</v>
      </c>
      <c r="S53" s="11">
        <v>0.93836331315770904</v>
      </c>
      <c r="T53" s="11">
        <v>0.89878949162663713</v>
      </c>
    </row>
    <row r="54" spans="14:20" x14ac:dyDescent="0.25">
      <c r="N54" s="3" t="s">
        <v>37</v>
      </c>
      <c r="O54" s="11">
        <v>0</v>
      </c>
      <c r="P54" s="11">
        <v>-1553.6739736999996</v>
      </c>
      <c r="Q54" s="11">
        <v>4336.4969207500999</v>
      </c>
      <c r="R54" s="11">
        <v>4336.6108503835003</v>
      </c>
      <c r="S54" s="11">
        <v>4336.7817448336</v>
      </c>
      <c r="T54" s="11">
        <v>4336.8956744670004</v>
      </c>
    </row>
    <row r="55" spans="14:20" x14ac:dyDescent="0.25">
      <c r="N55" s="3" t="s">
        <v>42</v>
      </c>
      <c r="O55" s="11">
        <v>0</v>
      </c>
      <c r="P55" s="11">
        <v>-28.113149870868526</v>
      </c>
      <c r="Q55" s="11">
        <v>72.643890257327683</v>
      </c>
      <c r="R55" s="11">
        <v>69.22100323188468</v>
      </c>
      <c r="S55" s="11">
        <v>64.651835844524058</v>
      </c>
      <c r="T55" s="11">
        <v>61.926885243577217</v>
      </c>
    </row>
    <row r="56" spans="14:20" x14ac:dyDescent="0.25">
      <c r="N56" s="3" t="s">
        <v>38</v>
      </c>
      <c r="O56" s="11">
        <v>860.14626825458322</v>
      </c>
      <c r="P56" s="11">
        <v>206.8726634074329</v>
      </c>
      <c r="Q56" s="11">
        <v>147.80162343445511</v>
      </c>
      <c r="R56" s="11">
        <v>108.42093011913654</v>
      </c>
      <c r="S56" s="11">
        <v>49.349890146158721</v>
      </c>
      <c r="T56" s="11">
        <v>9.9691968308401844</v>
      </c>
    </row>
    <row r="57" spans="14:20" x14ac:dyDescent="0.25">
      <c r="N57" s="3" t="s">
        <v>39</v>
      </c>
      <c r="O57" s="11">
        <v>3207.9471826351819</v>
      </c>
      <c r="P57" s="11">
        <v>4047.5944455509716</v>
      </c>
      <c r="Q57" s="11">
        <v>4047.5944455509716</v>
      </c>
      <c r="R57" s="11">
        <v>4047.5944455509716</v>
      </c>
      <c r="S57" s="11">
        <v>4047.5944455509716</v>
      </c>
      <c r="T57" s="11">
        <v>4047.5944455509716</v>
      </c>
    </row>
  </sheetData>
  <mergeCells count="16">
    <mergeCell ref="A14:G14"/>
    <mergeCell ref="A15:B18"/>
    <mergeCell ref="C15:G15"/>
    <mergeCell ref="C17:C18"/>
    <mergeCell ref="D17:D18"/>
    <mergeCell ref="E17:E18"/>
    <mergeCell ref="F17:F18"/>
    <mergeCell ref="G17:G18"/>
    <mergeCell ref="A1:G1"/>
    <mergeCell ref="A2:B5"/>
    <mergeCell ref="C2:G2"/>
    <mergeCell ref="C4:C5"/>
    <mergeCell ref="D4:D5"/>
    <mergeCell ref="E4:E5"/>
    <mergeCell ref="F4:F5"/>
    <mergeCell ref="G4:G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capex_oxyfuel</vt:lpstr>
      <vt:lpstr>capex_mea</vt:lpstr>
      <vt:lpstr>capex_cpu_oxyfuel</vt:lpstr>
      <vt:lpstr>capex_compressor_mea</vt:lpstr>
      <vt:lpstr>energy_oxy_mea</vt:lpstr>
      <vt:lpstr>energy_cpu_compressor</vt:lpstr>
      <vt:lpstr>calculations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Bertoni, L. (Luca)</dc:creator>
  <cp:lastModifiedBy>Bertoni, L. (Luca)</cp:lastModifiedBy>
  <dcterms:created xsi:type="dcterms:W3CDTF">2025-04-22T14:21:42Z</dcterms:created>
  <dcterms:modified xsi:type="dcterms:W3CDTF">2026-09-14T12:47:22Z</dcterms:modified>
</cp:coreProperties>
</file>