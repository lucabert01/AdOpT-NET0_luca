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54659\PycharmProjects\AdOpT-NET0_luca\adopt_net0\database\templates\technology_data\Industrial\WasteCaL_data\"/>
    </mc:Choice>
  </mc:AlternateContent>
  <xr:revisionPtr revIDLastSave="0" documentId="13_ncr:1_{FE0923B7-CDDE-4392-BC55-4FA90E9AF4DF}" xr6:coauthVersionLast="47" xr6:coauthVersionMax="47" xr10:uidLastSave="{00000000-0000-0000-0000-000000000000}"/>
  <bookViews>
    <workbookView xWindow="-28920" yWindow="-120" windowWidth="29040" windowHeight="15720" xr2:uid="{8F88CED2-51E2-4BD6-898E-4BEA1BA4A2AA}"/>
  </bookViews>
  <sheets>
    <sheet name="capex_eur" sheetId="1" r:id="rId1"/>
    <sheet name="emission_factor_waste" sheetId="2" r:id="rId2"/>
    <sheet name="overview_data" sheetId="3" r:id="rId3"/>
    <sheet name="offdesign_calculations" sheetId="4" r:id="rId4"/>
    <sheet name="offdesign_resul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B6" i="1"/>
  <c r="E2" i="5" l="1"/>
  <c r="E3" i="5"/>
  <c r="E4" i="5"/>
  <c r="E5" i="5"/>
  <c r="E6" i="5"/>
  <c r="F4" i="5"/>
  <c r="F5" i="5"/>
  <c r="F6" i="5"/>
  <c r="F3" i="5"/>
  <c r="H22" i="4"/>
  <c r="G4" i="5"/>
  <c r="H4" i="5"/>
  <c r="G23" i="4"/>
  <c r="H21" i="4"/>
  <c r="H20" i="4"/>
  <c r="G20" i="4"/>
  <c r="H3" i="5"/>
  <c r="G21" i="4"/>
  <c r="H2" i="5"/>
  <c r="D3" i="5"/>
  <c r="D4" i="5"/>
  <c r="D5" i="5"/>
  <c r="D6" i="5"/>
  <c r="G6" i="5"/>
  <c r="G2" i="5"/>
  <c r="D2" i="5"/>
  <c r="F20" i="4"/>
  <c r="G3" i="5" s="1"/>
  <c r="F21" i="4"/>
  <c r="F22" i="4"/>
  <c r="G5" i="5" s="1"/>
  <c r="F23" i="4"/>
  <c r="F19" i="4"/>
  <c r="H23" i="4" s="1"/>
  <c r="H6" i="5" s="1"/>
  <c r="C12" i="4"/>
  <c r="C13" i="4"/>
  <c r="C14" i="4"/>
  <c r="C15" i="4"/>
  <c r="C11" i="4"/>
  <c r="B14" i="4"/>
  <c r="B12" i="4"/>
  <c r="B13" i="4"/>
  <c r="B15" i="4"/>
  <c r="B11" i="4"/>
  <c r="D12" i="4"/>
  <c r="E12" i="4" s="1"/>
  <c r="D13" i="4"/>
  <c r="E13" i="4" s="1"/>
  <c r="D14" i="4"/>
  <c r="E14" i="4" s="1"/>
  <c r="D15" i="4"/>
  <c r="E15" i="4" s="1"/>
  <c r="D11" i="4"/>
  <c r="E11" i="4" s="1"/>
  <c r="B3" i="2"/>
  <c r="C3" i="2"/>
  <c r="E19" i="4" l="1"/>
  <c r="E21" i="4"/>
  <c r="E22" i="4"/>
  <c r="E20" i="4"/>
  <c r="E23" i="4"/>
  <c r="H5" i="5"/>
  <c r="G2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A5" authorId="0" shapeId="0" xr:uid="{64D304FC-4F89-4E73-99EA-AA114FFF1A61}">
      <text>
        <r>
          <rPr>
            <b/>
            <sz val="9"/>
            <color indexed="81"/>
            <rFont val="Tahoma"/>
            <family val="2"/>
          </rPr>
          <t>Bertoni, L. (Luca):</t>
        </r>
        <r>
          <rPr>
            <sz val="9"/>
            <color indexed="81"/>
            <rFont val="Tahoma"/>
            <family val="2"/>
          </rPr>
          <t xml:space="preserve">
SIZE in kmol of Fluegase from WtE per h
</t>
        </r>
      </text>
    </comment>
    <comment ref="A6" authorId="0" shapeId="0" xr:uid="{49BFB2C2-848C-4420-9060-357036976EDA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EXTRAPOLATED NUMBERS TO ENLARGE THE SIZE RANGE
</t>
        </r>
      </text>
    </comment>
    <comment ref="B10" authorId="0" shapeId="0" xr:uid="{47898E69-D3BE-4623-8767-126292F5D1D7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I did y=a+bx, computed a and this a is the value reported here</t>
        </r>
      </text>
    </comment>
  </commentList>
</comments>
</file>

<file path=xl/sharedStrings.xml><?xml version="1.0" encoding="utf-8"?>
<sst xmlns="http://schemas.openxmlformats.org/spreadsheetml/2006/main" count="51" uniqueCount="27">
  <si>
    <t>emission_factor_tco2_twaste</t>
  </si>
  <si>
    <t>emission factor RDF</t>
  </si>
  <si>
    <t>emission factor waste 8%</t>
  </si>
  <si>
    <t>emission factor waste 10%</t>
  </si>
  <si>
    <t>tCO2/twaste</t>
  </si>
  <si>
    <t>LHV_RDF</t>
  </si>
  <si>
    <t>MWh/tRDF</t>
  </si>
  <si>
    <t>LHV_waste</t>
  </si>
  <si>
    <t>MWh/twaste</t>
  </si>
  <si>
    <t>tCO2/tRDF_including calcination emission</t>
  </si>
  <si>
    <t>lhv_MWh_twaste</t>
  </si>
  <si>
    <t>up flow</t>
  </si>
  <si>
    <t>down flow</t>
  </si>
  <si>
    <t>up conc</t>
  </si>
  <si>
    <t>down conc</t>
  </si>
  <si>
    <t>base</t>
  </si>
  <si>
    <t>net_el_efficiency</t>
  </si>
  <si>
    <t>co2 captured_tph</t>
  </si>
  <si>
    <t>co2 captured_kgps</t>
  </si>
  <si>
    <t>RDF input tRDFptCO2captured</t>
  </si>
  <si>
    <t>RDF input tRDF</t>
  </si>
  <si>
    <t>waste_tph</t>
  </si>
  <si>
    <t>co2_conc</t>
  </si>
  <si>
    <t>rel_el_eff_variation</t>
  </si>
  <si>
    <t>rel_rdf_input_variation</t>
  </si>
  <si>
    <t>relative efficiency variation in per 0,01 of concentration change (BETA) eta_new=eta_design * (1+BETA*(conc[t]-conc_design)) with sign depending on upward/downward change</t>
  </si>
  <si>
    <t>NOT USEFUL, TH_INPUT DOESN'T CHANGE AND EFFICIENCY CHANGE IS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</si>
</sst>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1" applyNumberFormat="1" applyFont="1"/>
    <xf numFmtId="0" fontId="0" fillId="2" borderId="0" xfId="0" applyFill="1"/>
    <xf numFmtId="1" fontId="0" fillId="0" borderId="0" xfId="0" applyNumberFormat="1"/>
    <xf numFmtId="2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2" borderId="0" xfId="0" applyNumberFormat="1" applyFill="1"/>
    <xf numFmtId="2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0849-3AC0-454A-9B3C-7EE06DFB619F}">
  <dimension ref="A1:E13"/>
  <sheetViews>
    <sheetView tabSelected="1" workbookViewId="0">
      <selection activeCell="D2" sqref="D2"/>
    </sheetView>
  </sheetViews>
  <sheetFormatPr defaultRowHeight="15" x14ac:dyDescent="0.25"/>
  <cols>
    <col min="1" max="1" width="9.42578125" bestFit="1" customWidth="1"/>
    <col min="2" max="3" width="12" bestFit="1" customWidth="1"/>
  </cols>
  <sheetData>
    <row r="1" spans="1:5" x14ac:dyDescent="0.25">
      <c r="B1">
        <v>0.08</v>
      </c>
      <c r="C1">
        <v>0.1</v>
      </c>
    </row>
    <row r="2" spans="1:5" x14ac:dyDescent="0.25">
      <c r="A2">
        <v>0</v>
      </c>
      <c r="B2">
        <v>0</v>
      </c>
      <c r="C2">
        <v>0</v>
      </c>
    </row>
    <row r="3" spans="1:5" x14ac:dyDescent="0.25">
      <c r="A3" s="1">
        <v>3347.0983994063113</v>
      </c>
      <c r="B3" s="3">
        <v>166037113.35997301</v>
      </c>
      <c r="C3" s="3">
        <v>187453521.97777799</v>
      </c>
      <c r="E3" s="3"/>
    </row>
    <row r="4" spans="1:5" x14ac:dyDescent="0.25">
      <c r="A4" s="1">
        <v>8925.5957317501616</v>
      </c>
      <c r="B4" s="3">
        <v>335583666.32719898</v>
      </c>
      <c r="C4" s="3">
        <v>396717686.00048</v>
      </c>
    </row>
    <row r="5" spans="1:5" x14ac:dyDescent="0.25">
      <c r="A5" s="1">
        <v>16066.072317150292</v>
      </c>
      <c r="B5">
        <v>486368837.80266201</v>
      </c>
      <c r="C5">
        <v>586394103.56009102</v>
      </c>
    </row>
    <row r="6" spans="1:5" x14ac:dyDescent="0.25">
      <c r="A6" s="8">
        <v>34000</v>
      </c>
      <c r="B6" s="2">
        <f>_xlfn.FORECAST.LINEAR(A6,B4:B5,A4:A5)</f>
        <v>865078904.07697272</v>
      </c>
      <c r="C6" s="2">
        <f>_xlfn.FORECAST.LINEAR(A6,C4:C5,A4:A5)</f>
        <v>1062782915.2832865</v>
      </c>
    </row>
    <row r="10" spans="1:5" x14ac:dyDescent="0.25">
      <c r="B10" s="3"/>
      <c r="C10" s="3"/>
    </row>
    <row r="11" spans="1:5" x14ac:dyDescent="0.25">
      <c r="A11" s="1"/>
      <c r="B11" s="3"/>
      <c r="C11" s="3"/>
    </row>
    <row r="12" spans="1:5" x14ac:dyDescent="0.25">
      <c r="A12" s="1"/>
    </row>
    <row r="13" spans="1:5" x14ac:dyDescent="0.25">
      <c r="A13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93E1-2116-44F4-BC6A-7CAB75645393}">
  <dimension ref="A1:C3"/>
  <sheetViews>
    <sheetView workbookViewId="0">
      <selection activeCell="B2" sqref="B2"/>
    </sheetView>
  </sheetViews>
  <sheetFormatPr defaultRowHeight="15" x14ac:dyDescent="0.25"/>
  <cols>
    <col min="1" max="1" width="27.42578125" bestFit="1" customWidth="1"/>
  </cols>
  <sheetData>
    <row r="1" spans="1:3" x14ac:dyDescent="0.25">
      <c r="B1">
        <v>0.08</v>
      </c>
      <c r="C1">
        <v>0.1</v>
      </c>
    </row>
    <row r="2" spans="1:3" x14ac:dyDescent="0.25">
      <c r="A2" t="s">
        <v>0</v>
      </c>
      <c r="B2" s="5">
        <v>0.89</v>
      </c>
      <c r="C2" s="5">
        <v>1.04</v>
      </c>
    </row>
    <row r="3" spans="1:3" x14ac:dyDescent="0.25">
      <c r="A3" t="s">
        <v>10</v>
      </c>
      <c r="B3" s="4">
        <f>8.81/3600*1000</f>
        <v>2.447222222222222</v>
      </c>
      <c r="C3" s="4">
        <f>10.79/3600*1000</f>
        <v>2.9972222222222218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A07C-9042-4182-B481-990E6A122527}">
  <dimension ref="A2:C6"/>
  <sheetViews>
    <sheetView workbookViewId="0">
      <selection activeCell="A5" sqref="A5"/>
    </sheetView>
  </sheetViews>
  <sheetFormatPr defaultRowHeight="15" x14ac:dyDescent="0.25"/>
  <cols>
    <col min="1" max="1" width="24" bestFit="1" customWidth="1"/>
    <col min="3" max="3" width="12.28515625" bestFit="1" customWidth="1"/>
  </cols>
  <sheetData>
    <row r="2" spans="1:3" x14ac:dyDescent="0.25">
      <c r="A2" t="s">
        <v>1</v>
      </c>
      <c r="B2">
        <v>1.649</v>
      </c>
      <c r="C2" t="s">
        <v>9</v>
      </c>
    </row>
    <row r="3" spans="1:3" x14ac:dyDescent="0.25">
      <c r="A3" t="s">
        <v>3</v>
      </c>
      <c r="B3">
        <v>1.04</v>
      </c>
      <c r="C3" t="s">
        <v>4</v>
      </c>
    </row>
    <row r="4" spans="1:3" x14ac:dyDescent="0.25">
      <c r="A4" t="s">
        <v>2</v>
      </c>
      <c r="B4">
        <v>0.89900000000000002</v>
      </c>
      <c r="C4" t="s">
        <v>4</v>
      </c>
    </row>
    <row r="5" spans="1:3" x14ac:dyDescent="0.25">
      <c r="A5" t="s">
        <v>5</v>
      </c>
      <c r="B5">
        <v>4.92</v>
      </c>
      <c r="C5" t="s">
        <v>6</v>
      </c>
    </row>
    <row r="6" spans="1:3" x14ac:dyDescent="0.25">
      <c r="A6" t="s">
        <v>7</v>
      </c>
      <c r="B6">
        <v>2.4500000000000002</v>
      </c>
      <c r="C6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00F7-44EF-4E95-8339-2B9D4ABCCCA3}">
  <dimension ref="A1:H23"/>
  <sheetViews>
    <sheetView workbookViewId="0">
      <selection activeCell="G22" sqref="G22:G23"/>
    </sheetView>
  </sheetViews>
  <sheetFormatPr defaultRowHeight="15" x14ac:dyDescent="0.25"/>
  <cols>
    <col min="1" max="1" width="10.42578125" bestFit="1" customWidth="1"/>
    <col min="2" max="3" width="10.42578125" customWidth="1"/>
    <col min="4" max="4" width="17.5703125" bestFit="1" customWidth="1"/>
    <col min="5" max="5" width="28" bestFit="1" customWidth="1"/>
    <col min="6" max="6" width="16.5703125" bestFit="1" customWidth="1"/>
    <col min="7" max="7" width="21.7109375" customWidth="1"/>
  </cols>
  <sheetData>
    <row r="1" spans="1:6" x14ac:dyDescent="0.25">
      <c r="D1" t="s">
        <v>18</v>
      </c>
      <c r="E1" t="s">
        <v>20</v>
      </c>
      <c r="F1" t="s">
        <v>16</v>
      </c>
    </row>
    <row r="2" spans="1:6" x14ac:dyDescent="0.25">
      <c r="A2" t="s">
        <v>15</v>
      </c>
      <c r="B2">
        <v>69.619621440000003</v>
      </c>
      <c r="C2">
        <v>0.08</v>
      </c>
      <c r="D2">
        <v>16.282494037979998</v>
      </c>
      <c r="E2">
        <v>5.4761578000000002</v>
      </c>
      <c r="F2">
        <v>0.1285572943289566</v>
      </c>
    </row>
    <row r="3" spans="1:6" x14ac:dyDescent="0.25">
      <c r="A3" t="s">
        <v>12</v>
      </c>
      <c r="B3">
        <v>64.847308679999998</v>
      </c>
      <c r="C3">
        <v>0.08</v>
      </c>
      <c r="D3">
        <v>17.326894819859998</v>
      </c>
      <c r="E3">
        <v>5.8013718799999996</v>
      </c>
      <c r="F3">
        <v>0.12513581457033682</v>
      </c>
    </row>
    <row r="4" spans="1:6" x14ac:dyDescent="0.25">
      <c r="A4" t="s">
        <v>11</v>
      </c>
      <c r="B4">
        <v>74.391934199999994</v>
      </c>
      <c r="C4">
        <v>0.08</v>
      </c>
      <c r="D4">
        <v>15.233061460769999</v>
      </c>
      <c r="E4">
        <v>5.1487875399999998</v>
      </c>
      <c r="F4">
        <v>0.13047121888388721</v>
      </c>
    </row>
    <row r="5" spans="1:6" x14ac:dyDescent="0.25">
      <c r="A5" t="s">
        <v>13</v>
      </c>
      <c r="B5">
        <v>69.619621440000003</v>
      </c>
      <c r="C5">
        <v>0.09</v>
      </c>
      <c r="D5">
        <v>18.236537157779999</v>
      </c>
      <c r="E5">
        <v>5.9945676299999997</v>
      </c>
      <c r="F5">
        <v>0.12480663803176834</v>
      </c>
    </row>
    <row r="6" spans="1:6" x14ac:dyDescent="0.25">
      <c r="A6" t="s">
        <v>14</v>
      </c>
      <c r="B6">
        <v>69.619621440000003</v>
      </c>
      <c r="C6">
        <v>7.0000000000000007E-2</v>
      </c>
      <c r="D6">
        <v>14.160805913699999</v>
      </c>
      <c r="E6">
        <v>4.8435427600000001</v>
      </c>
      <c r="F6">
        <v>0.12562956888190682</v>
      </c>
    </row>
    <row r="10" spans="1:6" x14ac:dyDescent="0.25">
      <c r="D10" t="s">
        <v>17</v>
      </c>
      <c r="E10" t="s">
        <v>19</v>
      </c>
      <c r="F10" t="s">
        <v>16</v>
      </c>
    </row>
    <row r="11" spans="1:6" x14ac:dyDescent="0.25">
      <c r="A11" t="s">
        <v>15</v>
      </c>
      <c r="B11">
        <f>B2/$B$2</f>
        <v>1</v>
      </c>
      <c r="C11">
        <f>C2/$C$2</f>
        <v>1</v>
      </c>
      <c r="D11">
        <f>D2/1000*3600</f>
        <v>58.616978536727999</v>
      </c>
      <c r="E11">
        <f>E2/D11</f>
        <v>9.3422723871186414E-2</v>
      </c>
      <c r="F11">
        <v>0.1285572943289566</v>
      </c>
    </row>
    <row r="12" spans="1:6" x14ac:dyDescent="0.25">
      <c r="A12" t="s">
        <v>12</v>
      </c>
      <c r="B12">
        <f t="shared" ref="B12:B15" si="0">B3/$B$2</f>
        <v>0.93145161290322576</v>
      </c>
      <c r="C12">
        <f t="shared" ref="C12:C15" si="1">C3/$C$2</f>
        <v>1</v>
      </c>
      <c r="D12">
        <f t="shared" ref="D12:D15" si="2">D3/1000*3600</f>
        <v>62.376821351495991</v>
      </c>
      <c r="E12">
        <f t="shared" ref="E12:E15" si="3">E3/D12</f>
        <v>9.3005250256485927E-2</v>
      </c>
      <c r="F12">
        <v>0.12513581457033682</v>
      </c>
    </row>
    <row r="13" spans="1:6" x14ac:dyDescent="0.25">
      <c r="A13" t="s">
        <v>11</v>
      </c>
      <c r="B13">
        <f t="shared" si="0"/>
        <v>1.068548387096774</v>
      </c>
      <c r="C13">
        <f t="shared" si="1"/>
        <v>1</v>
      </c>
      <c r="D13">
        <f t="shared" si="2"/>
        <v>54.839021258772</v>
      </c>
      <c r="E13">
        <f t="shared" si="3"/>
        <v>9.3889121684067336E-2</v>
      </c>
      <c r="F13">
        <v>0.13047121888388721</v>
      </c>
    </row>
    <row r="14" spans="1:6" x14ac:dyDescent="0.25">
      <c r="A14" t="s">
        <v>13</v>
      </c>
      <c r="B14">
        <f>B5/$B$2</f>
        <v>1</v>
      </c>
      <c r="C14">
        <f t="shared" si="1"/>
        <v>1.125</v>
      </c>
      <c r="D14">
        <f t="shared" si="2"/>
        <v>65.651533768007994</v>
      </c>
      <c r="E14">
        <f t="shared" si="3"/>
        <v>9.1308874080275548E-2</v>
      </c>
      <c r="F14">
        <v>0.12480663803176834</v>
      </c>
    </row>
    <row r="15" spans="1:6" x14ac:dyDescent="0.25">
      <c r="A15" t="s">
        <v>14</v>
      </c>
      <c r="B15">
        <f t="shared" si="0"/>
        <v>1</v>
      </c>
      <c r="C15">
        <f t="shared" si="1"/>
        <v>0.87500000000000011</v>
      </c>
      <c r="D15">
        <f t="shared" si="2"/>
        <v>50.97890128932</v>
      </c>
      <c r="E15">
        <f t="shared" si="3"/>
        <v>9.5010732626650676E-2</v>
      </c>
      <c r="F15">
        <v>0.12562956888190682</v>
      </c>
    </row>
    <row r="18" spans="1:8" x14ac:dyDescent="0.25">
      <c r="D18" t="s">
        <v>17</v>
      </c>
      <c r="E18" t="s">
        <v>19</v>
      </c>
      <c r="F18" t="s">
        <v>16</v>
      </c>
      <c r="G18" t="s">
        <v>24</v>
      </c>
      <c r="H18" t="s">
        <v>25</v>
      </c>
    </row>
    <row r="19" spans="1:8" x14ac:dyDescent="0.25">
      <c r="A19" t="s">
        <v>15</v>
      </c>
      <c r="B19">
        <v>1</v>
      </c>
      <c r="C19">
        <v>0.08</v>
      </c>
      <c r="D19">
        <v>58.616978536727999</v>
      </c>
      <c r="E19">
        <f>E11/$E$11</f>
        <v>1</v>
      </c>
      <c r="F19" s="6">
        <f>F11/$F$11</f>
        <v>1</v>
      </c>
    </row>
    <row r="20" spans="1:8" x14ac:dyDescent="0.25">
      <c r="A20" t="s">
        <v>12</v>
      </c>
      <c r="B20">
        <v>0.93145161290322576</v>
      </c>
      <c r="C20">
        <v>0.08</v>
      </c>
      <c r="D20">
        <v>62.376821351495991</v>
      </c>
      <c r="E20">
        <f t="shared" ref="E20:E23" si="4">E12/$E$11</f>
        <v>0.99553134829084933</v>
      </c>
      <c r="F20" s="1">
        <f t="shared" ref="F20:F23" si="5">F12/$F$11</f>
        <v>0.97338556496168327</v>
      </c>
      <c r="G20" s="6">
        <f>($E$19-E20)/(B20-$B$19)</f>
        <v>-6.518974258055095E-2</v>
      </c>
      <c r="H20" s="6">
        <f>($F$19-F20)/(B20-$B$19)</f>
        <v>-0.38825764055897322</v>
      </c>
    </row>
    <row r="21" spans="1:8" x14ac:dyDescent="0.25">
      <c r="A21" t="s">
        <v>11</v>
      </c>
      <c r="B21">
        <v>1.068548387096774</v>
      </c>
      <c r="C21">
        <v>0.08</v>
      </c>
      <c r="D21">
        <v>54.839021258772</v>
      </c>
      <c r="E21">
        <f t="shared" si="4"/>
        <v>1.0049923379832513</v>
      </c>
      <c r="F21" s="1">
        <f t="shared" si="5"/>
        <v>1.0148877165229784</v>
      </c>
      <c r="G21" s="6">
        <f>($E$19-E21)/(B21-$B$19)</f>
        <v>-7.2829401167430502E-2</v>
      </c>
      <c r="H21" s="6">
        <f>($F$19-F21)/(B21-$B$19)</f>
        <v>-0.21718551162933217</v>
      </c>
    </row>
    <row r="22" spans="1:8" x14ac:dyDescent="0.25">
      <c r="A22" t="s">
        <v>13</v>
      </c>
      <c r="B22">
        <v>1</v>
      </c>
      <c r="C22">
        <v>0.09</v>
      </c>
      <c r="D22">
        <v>65.651533768007994</v>
      </c>
      <c r="E22">
        <f t="shared" si="4"/>
        <v>0.97737328025432557</v>
      </c>
      <c r="F22" s="1">
        <f t="shared" si="5"/>
        <v>0.97082502150682359</v>
      </c>
      <c r="G22" s="6">
        <f>($E$19-E22)/(C22-$C$19)</f>
        <v>2.2626719745674442</v>
      </c>
      <c r="H22" s="6">
        <f>($F$19-F22)/(C22-$C$19)</f>
        <v>2.917497849317642</v>
      </c>
    </row>
    <row r="23" spans="1:8" x14ac:dyDescent="0.25">
      <c r="A23" t="s">
        <v>14</v>
      </c>
      <c r="B23">
        <v>1</v>
      </c>
      <c r="C23">
        <v>7.0000000000000007E-2</v>
      </c>
      <c r="D23">
        <v>50.97890128932</v>
      </c>
      <c r="E23">
        <f t="shared" si="4"/>
        <v>1.0169980994950849</v>
      </c>
      <c r="F23" s="1">
        <f t="shared" si="5"/>
        <v>0.97722629849724263</v>
      </c>
      <c r="G23" s="6">
        <f>($E$19-E23)/(C23-$C$19)</f>
        <v>1.6998099495084915</v>
      </c>
      <c r="H23" s="6">
        <f>(F19-F23)/(C23-C19)</f>
        <v>-2.2773701502757384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67DB-59C1-42B3-8939-773BE0BF59FD}">
  <dimension ref="A1:I6"/>
  <sheetViews>
    <sheetView workbookViewId="0">
      <selection activeCell="F1" sqref="F1"/>
    </sheetView>
  </sheetViews>
  <sheetFormatPr defaultRowHeight="15" x14ac:dyDescent="0.25"/>
  <cols>
    <col min="3" max="3" width="9" bestFit="1" customWidth="1"/>
    <col min="4" max="4" width="17.5703125" bestFit="1" customWidth="1"/>
    <col min="5" max="5" width="14.28515625" bestFit="1" customWidth="1"/>
    <col min="6" max="6" width="22" bestFit="1" customWidth="1"/>
    <col min="7" max="7" width="16.5703125" bestFit="1" customWidth="1"/>
    <col min="8" max="8" width="18.85546875" bestFit="1" customWidth="1"/>
    <col min="9" max="9" width="71.5703125" bestFit="1" customWidth="1"/>
  </cols>
  <sheetData>
    <row r="1" spans="1:9" x14ac:dyDescent="0.25">
      <c r="B1" t="s">
        <v>21</v>
      </c>
      <c r="C1" t="s">
        <v>22</v>
      </c>
      <c r="D1" t="s">
        <v>18</v>
      </c>
      <c r="E1" t="s">
        <v>20</v>
      </c>
      <c r="F1" t="s">
        <v>24</v>
      </c>
      <c r="G1" t="s">
        <v>16</v>
      </c>
      <c r="H1" t="s">
        <v>23</v>
      </c>
    </row>
    <row r="2" spans="1:9" x14ac:dyDescent="0.25">
      <c r="A2" t="s">
        <v>15</v>
      </c>
      <c r="B2">
        <v>1</v>
      </c>
      <c r="C2">
        <v>0.08</v>
      </c>
      <c r="D2">
        <f>offdesign_calculations!D19</f>
        <v>58.616978536727999</v>
      </c>
      <c r="E2">
        <f>offdesign_calculations!E19</f>
        <v>1</v>
      </c>
      <c r="G2">
        <f>offdesign_calculations!F19</f>
        <v>1</v>
      </c>
      <c r="H2">
        <f>offdesign_calculations!H19</f>
        <v>0</v>
      </c>
    </row>
    <row r="3" spans="1:9" x14ac:dyDescent="0.25">
      <c r="A3" s="2" t="s">
        <v>11</v>
      </c>
      <c r="B3" s="2">
        <v>0.93145161290322576</v>
      </c>
      <c r="C3" s="2">
        <v>0.08</v>
      </c>
      <c r="D3" s="2">
        <f>offdesign_calculations!D20</f>
        <v>62.376821351495991</v>
      </c>
      <c r="E3" s="2">
        <f>offdesign_calculations!E20</f>
        <v>0.99553134829084933</v>
      </c>
      <c r="F3" s="7">
        <f>offdesign_calculations!G20</f>
        <v>-6.518974258055095E-2</v>
      </c>
      <c r="G3" s="2">
        <f>offdesign_calculations!F20</f>
        <v>0.97338556496168327</v>
      </c>
      <c r="H3" s="2">
        <f>offdesign_calculations!H20</f>
        <v>-0.38825764055897322</v>
      </c>
      <c r="I3" s="2" t="s">
        <v>26</v>
      </c>
    </row>
    <row r="4" spans="1:9" x14ac:dyDescent="0.25">
      <c r="A4" s="2" t="s">
        <v>12</v>
      </c>
      <c r="B4" s="2">
        <v>1.068548387096774</v>
      </c>
      <c r="C4" s="2">
        <v>0.08</v>
      </c>
      <c r="D4" s="2">
        <f>offdesign_calculations!D21</f>
        <v>54.839021258772</v>
      </c>
      <c r="E4" s="2">
        <f>offdesign_calculations!E21</f>
        <v>1.0049923379832513</v>
      </c>
      <c r="F4" s="7">
        <f>offdesign_calculations!G21</f>
        <v>-7.2829401167430502E-2</v>
      </c>
      <c r="G4" s="7">
        <f>offdesign_calculations!F21</f>
        <v>1.0148877165229784</v>
      </c>
      <c r="H4" s="7">
        <f>offdesign_calculations!H21</f>
        <v>-0.21718551162933217</v>
      </c>
    </row>
    <row r="5" spans="1:9" x14ac:dyDescent="0.25">
      <c r="A5" t="s">
        <v>13</v>
      </c>
      <c r="B5">
        <v>1</v>
      </c>
      <c r="C5">
        <v>0.09</v>
      </c>
      <c r="D5">
        <f>offdesign_calculations!D22</f>
        <v>65.651533768007994</v>
      </c>
      <c r="E5">
        <f>offdesign_calculations!E22</f>
        <v>0.97737328025432557</v>
      </c>
      <c r="F5" s="6">
        <f>offdesign_calculations!G22</f>
        <v>2.2626719745674442</v>
      </c>
      <c r="G5">
        <f>offdesign_calculations!F22</f>
        <v>0.97082502150682359</v>
      </c>
      <c r="H5">
        <f>offdesign_calculations!H22</f>
        <v>2.917497849317642</v>
      </c>
    </row>
    <row r="6" spans="1:9" x14ac:dyDescent="0.25">
      <c r="A6" t="s">
        <v>14</v>
      </c>
      <c r="B6">
        <v>1</v>
      </c>
      <c r="C6">
        <v>7.0000000000000007E-2</v>
      </c>
      <c r="D6">
        <f>offdesign_calculations!D23</f>
        <v>50.97890128932</v>
      </c>
      <c r="E6">
        <f>offdesign_calculations!E23</f>
        <v>1.0169980994950849</v>
      </c>
      <c r="F6" s="6">
        <f>offdesign_calculations!G23</f>
        <v>1.6998099495084915</v>
      </c>
      <c r="G6">
        <f>offdesign_calculations!F23</f>
        <v>0.97722629849724263</v>
      </c>
      <c r="H6">
        <f>offdesign_calculations!H23</f>
        <v>-2.2773701502757384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capex_eur</vt:lpstr>
      <vt:lpstr>emission_factor_waste</vt:lpstr>
      <vt:lpstr>overview_data</vt:lpstr>
      <vt:lpstr>offdesign_calculations</vt:lpstr>
      <vt:lpstr>offdesign_results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2025-09-01T15:17:25Z</dcterms:created>
  <dcterms:modified xsi:type="dcterms:W3CDTF">2026-09-14T12:46:21Z</dcterms:modified>
</cp:coreProperties>
</file>