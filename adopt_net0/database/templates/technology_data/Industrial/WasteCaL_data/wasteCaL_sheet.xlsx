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Z:\soliscom.uu.nl\geo\SD\Energy and Resources\GazzaniGroup\Luca\Adopt_NET0_Luca\adopt_net0\database\templates\technology_data\Industrial\WasteCaL_data\"/>
    </mc:Choice>
  </mc:AlternateContent>
  <xr:revisionPtr revIDLastSave="0" documentId="13_ncr:1_{4F313F35-6738-4A62-885B-5B7A4AF79E64}" xr6:coauthVersionLast="47" xr6:coauthVersionMax="47" xr10:uidLastSave="{00000000-0000-0000-0000-000000000000}"/>
  <bookViews>
    <workbookView xWindow="-108" yWindow="-108" windowWidth="23256" windowHeight="12456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calculations" sheetId="4" r:id="rId4"/>
    <sheet name="offdesign_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1" l="1"/>
  <c r="B5" i="1"/>
  <c r="B4" i="1"/>
  <c r="C4" i="1"/>
  <c r="C3" i="1"/>
  <c r="B3" i="1"/>
  <c r="E2" i="5"/>
  <c r="E3" i="5"/>
  <c r="E4" i="5"/>
  <c r="E5" i="5"/>
  <c r="E6" i="5"/>
  <c r="F4" i="5"/>
  <c r="F5" i="5"/>
  <c r="F6" i="5"/>
  <c r="F3" i="5"/>
  <c r="H22" i="4"/>
  <c r="G4" i="5"/>
  <c r="H4" i="5"/>
  <c r="G23" i="4"/>
  <c r="H21" i="4"/>
  <c r="H20" i="4"/>
  <c r="G20" i="4"/>
  <c r="H3" i="5"/>
  <c r="G21" i="4"/>
  <c r="H2" i="5"/>
  <c r="D3" i="5"/>
  <c r="D4" i="5"/>
  <c r="D5" i="5"/>
  <c r="D6" i="5"/>
  <c r="G6" i="5"/>
  <c r="G2" i="5"/>
  <c r="D2" i="5"/>
  <c r="F20" i="4"/>
  <c r="G3" i="5" s="1"/>
  <c r="F21" i="4"/>
  <c r="F22" i="4"/>
  <c r="G5" i="5" s="1"/>
  <c r="F23" i="4"/>
  <c r="F19" i="4"/>
  <c r="H23" i="4" s="1"/>
  <c r="H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22" i="4"/>
  <c r="E20" i="4"/>
  <c r="E23" i="4"/>
  <c r="H5" i="5"/>
  <c r="G2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<sst xmlns="http://schemas.openxmlformats.org/spreadsheetml/2006/main" count="51" uniqueCount="27">
  <si>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</si>
  <si>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</si>
  <si>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</si>
  <si>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</si>
  <si>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</si>
  <si>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</si>
  <si>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</si>
  <si>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</si>
  <si>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</si>
  <si>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</si>
  <si>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</si>
  <si>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</si>
  <si>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</si>
  <si>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</si>
  <si>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</si>
  <si>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</si>
  <si>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</si>
  <si>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</si>
  <si>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</si>
  <si>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</si>
  <si>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</si>
  <si>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</si>
  <si>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</si>
  <si>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</si>
  <si>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</si>
  <si>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</si>
  <si>
    <t>NOT USEFUL, TH_INPUT DOESN'T CHANGE AND EFFICIENCY CHANGE IS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</si>
</sst>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1" fontId="0" fillId="0" borderId="0" xfId="0" applyNumberFormat="1" applyFill="1"/>
    <xf numFmtId="2" fontId="4" fillId="0" borderId="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2" borderId="0" xfId="0" applyNumberFormat="1" applyFill="1"/>
    <xf numFmtId="0" fontId="0" fillId="0" borderId="0" xfId="0" applyFill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C13"/>
  <sheetViews>
    <sheetView tabSelected="1" workbookViewId="0">
      <selection activeCell="B6" sqref="B6"/>
    </sheetView>
  </sheetViews>
  <sheetFormatPr defaultRowHeight="15" x14ac:dyDescent="0.25"/>
  <cols>
    <col min="2" max="3" width="12" bestFit="1" customWidth="1"/>
  </cols>
  <sheetData>
    <row r="1" spans="1:3" x14ac:dyDescent="0.25">
      <c r="B1">
        <v>0.08</v>
      </c>
      <c r="C1">
        <v>0.1</v>
      </c>
    </row>
    <row r="2" spans="1:3" x14ac:dyDescent="0.25">
      <c r="A2">
        <v>0</v>
      </c>
      <c r="B2" s="9">
        <v>0</v>
      </c>
      <c r="C2" s="9">
        <v>0</v>
      </c>
    </row>
    <row r="3" spans="1:3" x14ac:dyDescent="0.25">
      <c r="A3" s="1">
        <v>21.983665659588002</v>
      </c>
      <c r="B3" s="3">
        <f>166037113.359973/2</f>
        <v>83018556.679986507</v>
      </c>
      <c r="C3">
        <f>187453521.977778/2</f>
        <v>93726760.988888994</v>
      </c>
    </row>
    <row r="4" spans="1:3" x14ac:dyDescent="0.25">
      <c r="A4" s="1">
        <v>58.616978536727991</v>
      </c>
      <c r="B4">
        <f>335583666.327199/2</f>
        <v>167791833.16359949</v>
      </c>
      <c r="C4">
        <f>396717686.00048/2</f>
        <v>198358843.00024</v>
      </c>
    </row>
    <row r="5" spans="1:3" x14ac:dyDescent="0.25">
      <c r="A5" s="1">
        <v>105.418766019312</v>
      </c>
      <c r="B5">
        <f>486368837.802662/2</f>
        <v>243184418.90133101</v>
      </c>
      <c r="C5">
        <f>586394103.560091/2</f>
        <v>293197051.78004551</v>
      </c>
    </row>
    <row r="10" spans="1:3" x14ac:dyDescent="0.25">
      <c r="B10" s="4"/>
      <c r="C10" s="4"/>
    </row>
    <row r="11" spans="1:3" x14ac:dyDescent="0.25">
      <c r="A11" s="1"/>
      <c r="B11" s="4"/>
      <c r="C11" s="4"/>
    </row>
    <row r="12" spans="1:3" x14ac:dyDescent="0.25">
      <c r="A12" s="1"/>
      <c r="B12" s="4"/>
      <c r="C12" s="4"/>
    </row>
    <row r="13" spans="1:3" x14ac:dyDescent="0.25">
      <c r="A13" s="1"/>
      <c r="B13" s="4"/>
      <c r="C13" s="4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3"/>
  <sheetViews>
    <sheetView workbookViewId="0">
      <selection activeCell="A2" sqref="A2"/>
    </sheetView>
  </sheetViews>
  <sheetFormatPr defaultRowHeight="15" x14ac:dyDescent="0.25"/>
  <cols>
    <col min="1" max="1" width="27.42578125" bestFit="1" customWidth="1"/>
  </cols>
  <sheetData>
    <row r="1" spans="1:3" x14ac:dyDescent="0.25">
      <c r="B1">
        <v>0.08</v>
      </c>
      <c r="C1">
        <v>0.1</v>
      </c>
    </row>
    <row r="2" spans="1:3" x14ac:dyDescent="0.25">
      <c r="A2" t="s">
        <v>0</v>
      </c>
      <c r="B2" s="6">
        <v>0.89</v>
      </c>
      <c r="C2" s="6">
        <v>1.04</v>
      </c>
    </row>
    <row r="3" spans="1:3" x14ac:dyDescent="0.25">
      <c r="A3" t="s">
        <v>10</v>
      </c>
      <c r="B3" s="5">
        <f>8.81/3600*1000</f>
        <v>2.447222222222222</v>
      </c>
      <c r="C3" s="5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C3" sqref="C3"/>
    </sheetView>
  </sheetViews>
  <sheetFormatPr defaultRowHeight="15" x14ac:dyDescent="0.25"/>
  <cols>
    <col min="1" max="1" width="24" bestFit="1" customWidth="1"/>
    <col min="3" max="3" width="12.28515625" bestFit="1" customWidth="1"/>
  </cols>
  <sheetData>
    <row r="2" spans="1:3" x14ac:dyDescent="0.25">
      <c r="A2" t="s">
        <v>1</v>
      </c>
      <c r="B2">
        <v>1.649</v>
      </c>
      <c r="C2" t="s">
        <v>9</v>
      </c>
    </row>
    <row r="3" spans="1:3" x14ac:dyDescent="0.25">
      <c r="A3" t="s">
        <v>2</v>
      </c>
      <c r="B3">
        <v>1.1240000000000001</v>
      </c>
      <c r="C3" t="s">
        <v>4</v>
      </c>
    </row>
    <row r="4" spans="1:3" x14ac:dyDescent="0.25">
      <c r="A4" t="s">
        <v>3</v>
      </c>
      <c r="B4">
        <v>0.89900000000000002</v>
      </c>
      <c r="C4" t="s">
        <v>4</v>
      </c>
    </row>
    <row r="5" spans="1:3" x14ac:dyDescent="0.25">
      <c r="A5" t="s">
        <v>5</v>
      </c>
      <c r="B5">
        <v>4.92</v>
      </c>
      <c r="C5" t="s">
        <v>6</v>
      </c>
    </row>
    <row r="6" spans="1:3" x14ac:dyDescent="0.25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G22" sqref="G22:G23"/>
    </sheetView>
  </sheetViews>
  <sheetFormatPr defaultRowHeight="15" x14ac:dyDescent="0.25"/>
  <cols>
    <col min="1" max="1" width="10.42578125" bestFit="1" customWidth="1"/>
    <col min="2" max="3" width="10.42578125" customWidth="1"/>
    <col min="4" max="4" width="17.5703125" bestFit="1" customWidth="1"/>
    <col min="5" max="5" width="28" bestFit="1" customWidth="1"/>
    <col min="6" max="6" width="16.5703125" bestFit="1" customWidth="1"/>
    <col min="7" max="7" width="21.7109375" customWidth="1"/>
  </cols>
  <sheetData>
    <row r="1" spans="1:6" x14ac:dyDescent="0.25">
      <c r="D1" t="s">
        <v>18</v>
      </c>
      <c r="E1" t="s">
        <v>20</v>
      </c>
      <c r="F1" t="s">
        <v>16</v>
      </c>
    </row>
    <row r="2" spans="1:6" x14ac:dyDescent="0.25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25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25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25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25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25">
      <c r="D10" t="s">
        <v>17</v>
      </c>
      <c r="E10" t="s">
        <v>19</v>
      </c>
      <c r="F10" t="s">
        <v>16</v>
      </c>
    </row>
    <row r="11" spans="1:6" x14ac:dyDescent="0.25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25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25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25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25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25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25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7">
        <f>F11/$F$11</f>
        <v>1</v>
      </c>
    </row>
    <row r="20" spans="1:8" x14ac:dyDescent="0.25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7">
        <f>($E$19-E20)/(B20-$B$19)</f>
        <v>-6.518974258055095E-2</v>
      </c>
      <c r="H20" s="7">
        <f>($F$19-F20)/(B20-$B$19)</f>
        <v>-0.38825764055897322</v>
      </c>
    </row>
    <row r="21" spans="1:8" x14ac:dyDescent="0.25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7">
        <f>($E$19-E21)/(B21-$B$19)</f>
        <v>-7.2829401167430502E-2</v>
      </c>
      <c r="H21" s="7">
        <f>($F$19-F21)/(B21-$B$19)</f>
        <v>-0.21718551162933217</v>
      </c>
    </row>
    <row r="22" spans="1:8" x14ac:dyDescent="0.25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7">
        <f>($E$19-E22)/(C22-$C$19)</f>
        <v>2.2626719745674442</v>
      </c>
      <c r="H22" s="7">
        <f>($F$19-F22)/(C22-$C$19)</f>
        <v>2.917497849317642</v>
      </c>
    </row>
    <row r="23" spans="1:8" x14ac:dyDescent="0.25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7">
        <f>($E$19-E23)/(C23-$C$19)</f>
        <v>1.6998099495084915</v>
      </c>
      <c r="H23" s="7">
        <f>(F19-F23)/(C23-C19)</f>
        <v>-2.2773701502757384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I6"/>
  <sheetViews>
    <sheetView workbookViewId="0">
      <selection activeCell="F1" sqref="F1"/>
    </sheetView>
  </sheetViews>
  <sheetFormatPr defaultRowHeight="15" x14ac:dyDescent="0.25"/>
  <cols>
    <col min="3" max="3" width="9" bestFit="1" customWidth="1"/>
    <col min="4" max="4" width="17.5703125" bestFit="1" customWidth="1"/>
    <col min="5" max="5" width="14.28515625" bestFit="1" customWidth="1"/>
    <col min="6" max="6" width="22" bestFit="1" customWidth="1"/>
    <col min="7" max="7" width="16.5703125" bestFit="1" customWidth="1"/>
    <col min="8" max="8" width="18.85546875" bestFit="1" customWidth="1"/>
    <col min="9" max="9" width="71.5703125" bestFit="1" customWidth="1"/>
  </cols>
  <sheetData>
    <row r="1" spans="1:9" x14ac:dyDescent="0.25">
      <c r="B1" t="s">
        <v>21</v>
      </c>
      <c r="C1" t="s">
        <v>22</v>
      </c>
      <c r="D1" t="s">
        <v>18</v>
      </c>
      <c r="E1" t="s">
        <v>20</v>
      </c>
      <c r="F1" t="s">
        <v>24</v>
      </c>
      <c r="G1" t="s">
        <v>16</v>
      </c>
      <c r="H1" t="s">
        <v>23</v>
      </c>
    </row>
    <row r="2" spans="1:9" x14ac:dyDescent="0.25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G2">
        <f>offdesign_calculations!F19</f>
        <v>1</v>
      </c>
      <c r="H2">
        <f>offdesign_calculations!H19</f>
        <v>0</v>
      </c>
    </row>
    <row r="3" spans="1:9" x14ac:dyDescent="0.25">
      <c r="A3" s="2" t="s">
        <v>11</v>
      </c>
      <c r="B3" s="2">
        <v>0.93145161290322576</v>
      </c>
      <c r="C3" s="2">
        <v>0.08</v>
      </c>
      <c r="D3" s="2">
        <f>offdesign_calculations!D20</f>
        <v>62.376821351495991</v>
      </c>
      <c r="E3" s="2">
        <f>offdesign_calculations!E20</f>
        <v>0.99553134829084933</v>
      </c>
      <c r="F3" s="8">
        <f>offdesign_calculations!G20</f>
        <v>-6.518974258055095E-2</v>
      </c>
      <c r="G3" s="2">
        <f>offdesign_calculations!F20</f>
        <v>0.97338556496168327</v>
      </c>
      <c r="H3" s="2">
        <f>offdesign_calculations!H20</f>
        <v>-0.38825764055897322</v>
      </c>
      <c r="I3" s="2" t="s">
        <v>26</v>
      </c>
    </row>
    <row r="4" spans="1:9" x14ac:dyDescent="0.25">
      <c r="A4" s="2" t="s">
        <v>12</v>
      </c>
      <c r="B4" s="2">
        <v>1.068548387096774</v>
      </c>
      <c r="C4" s="2">
        <v>0.08</v>
      </c>
      <c r="D4" s="2">
        <f>offdesign_calculations!D21</f>
        <v>54.839021258772</v>
      </c>
      <c r="E4" s="2">
        <f>offdesign_calculations!E21</f>
        <v>1.0049923379832513</v>
      </c>
      <c r="F4" s="8">
        <f>offdesign_calculations!G21</f>
        <v>-7.2829401167430502E-2</v>
      </c>
      <c r="G4" s="8">
        <f>offdesign_calculations!F21</f>
        <v>1.0148877165229784</v>
      </c>
      <c r="H4" s="8">
        <f>offdesign_calculations!H21</f>
        <v>-0.21718551162933217</v>
      </c>
    </row>
    <row r="5" spans="1:9" x14ac:dyDescent="0.25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 s="7">
        <f>offdesign_calculations!G22</f>
        <v>2.2626719745674442</v>
      </c>
      <c r="G5">
        <f>offdesign_calculations!F22</f>
        <v>0.97082502150682359</v>
      </c>
      <c r="H5">
        <f>offdesign_calculations!H22</f>
        <v>2.917497849317642</v>
      </c>
    </row>
    <row r="6" spans="1:9" x14ac:dyDescent="0.25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 s="7">
        <f>offdesign_calculations!G23</f>
        <v>1.6998099495084915</v>
      </c>
      <c r="G6">
        <f>offdesign_calculations!F23</f>
        <v>0.97722629849724263</v>
      </c>
      <c r="H6">
        <f>offdesign_calculations!H23</f>
        <v>-2.2773701502757384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offdesign_calculations</vt:lpstr>
      <vt:lpstr>offdesign_results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2026-04-10T15:09:49Z</dcterms:modified>
</cp:coreProperties>
</file>