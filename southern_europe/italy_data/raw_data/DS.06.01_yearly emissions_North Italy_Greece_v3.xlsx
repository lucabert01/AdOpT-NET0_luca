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Questa_cartella_di_lavoro" defaultThemeVersion="166925"/>
  <mc:AlternateContent xmlns:mc="http://schemas.openxmlformats.org/markup-compatibility/2006">
    <mc:Choice Requires="x15">
      <x15ac:absPath xmlns:x15ac="http://schemas.microsoft.com/office/spreadsheetml/2010/11/ac" url="https://solisservices-my.sharepoint.com/personal/l_bertoni_uu_nl/Documents/Documents/PhD/5 - Research/HERCCULES WP6/Emissions database/"/>
    </mc:Choice>
  </mc:AlternateContent>
  <xr:revisionPtr revIDLastSave="1073" documentId="8_{3DB96DAC-D244-490D-925E-E59EE22B3503}" xr6:coauthVersionLast="47" xr6:coauthVersionMax="47" xr10:uidLastSave="{204589C8-3E5C-4717-8786-D0FDE024F73D}"/>
  <bookViews>
    <workbookView xWindow="-120" yWindow="-120" windowWidth="29040" windowHeight="15720" activeTab="1" xr2:uid="{E5BFAA0F-C0EE-4E3B-A794-E523C9072F14}"/>
  </bookViews>
  <sheets>
    <sheet name="read me" sheetId="4" r:id="rId1"/>
    <sheet name="North-Italy" sheetId="2" r:id="rId2"/>
    <sheet name="Greec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2" l="1"/>
  <c r="G144" i="2"/>
  <c r="G142" i="2"/>
  <c r="G141" i="2"/>
  <c r="G140" i="2"/>
  <c r="G138" i="2"/>
  <c r="G137" i="2"/>
  <c r="E144" i="2"/>
  <c r="E142" i="2"/>
  <c r="E141" i="2"/>
  <c r="E140" i="2"/>
  <c r="E138" i="2"/>
  <c r="E137" i="2"/>
  <c r="C139" i="2"/>
  <c r="C144" i="2"/>
  <c r="C143" i="2"/>
  <c r="C142" i="2"/>
  <c r="C141" i="2"/>
  <c r="C140" i="2"/>
  <c r="C138" i="2"/>
  <c r="C137" i="2"/>
  <c r="I127" i="2"/>
  <c r="I126" i="2"/>
  <c r="I125" i="2"/>
  <c r="I124" i="2"/>
  <c r="I123" i="2"/>
  <c r="I122" i="2"/>
  <c r="I121" i="2"/>
  <c r="I120" i="2"/>
  <c r="I119" i="2"/>
  <c r="G127" i="2"/>
  <c r="G126" i="2"/>
  <c r="G125" i="2"/>
  <c r="G124" i="2"/>
  <c r="G123" i="2"/>
  <c r="G122" i="2"/>
  <c r="G121" i="2"/>
  <c r="G120" i="2"/>
  <c r="D126" i="2"/>
  <c r="D125" i="2"/>
  <c r="E125" i="2" s="1"/>
  <c r="D123" i="2"/>
  <c r="E123" i="2" s="1"/>
  <c r="D124" i="2"/>
  <c r="E124" i="2" s="1"/>
  <c r="D127" i="2"/>
  <c r="E127" i="2" s="1"/>
  <c r="D122" i="2"/>
  <c r="D119" i="2"/>
  <c r="E119" i="2" s="1"/>
  <c r="C122" i="2"/>
  <c r="D48" i="3"/>
  <c r="E48" i="3" s="1"/>
  <c r="C51" i="3"/>
  <c r="C50" i="3"/>
  <c r="C49" i="3"/>
  <c r="C48" i="3"/>
  <c r="D120" i="2"/>
  <c r="E120" i="2" s="1"/>
  <c r="C119" i="2"/>
  <c r="G145" i="2" l="1"/>
  <c r="H143" i="2" s="1"/>
  <c r="E145" i="2"/>
  <c r="F143" i="2" s="1"/>
  <c r="I129" i="2"/>
  <c r="I130" i="2" s="1"/>
  <c r="I131" i="2" s="1"/>
  <c r="E126" i="2"/>
  <c r="C145" i="2"/>
  <c r="D137" i="2" s="1"/>
  <c r="E122" i="2"/>
  <c r="C52" i="3"/>
  <c r="D51" i="3"/>
  <c r="E51" i="3" s="1"/>
  <c r="D50" i="3"/>
  <c r="E50" i="3" s="1"/>
  <c r="D49" i="3"/>
  <c r="H138" i="2" l="1"/>
  <c r="H144" i="2"/>
  <c r="H142" i="2"/>
  <c r="H141" i="2"/>
  <c r="H140" i="2"/>
  <c r="H139" i="2"/>
  <c r="H137" i="2"/>
  <c r="F144" i="2"/>
  <c r="F137" i="2"/>
  <c r="F139" i="2"/>
  <c r="F138" i="2"/>
  <c r="F140" i="2"/>
  <c r="F141" i="2"/>
  <c r="F142" i="2"/>
  <c r="D138" i="2"/>
  <c r="D144" i="2"/>
  <c r="D143" i="2"/>
  <c r="D142" i="2"/>
  <c r="D141" i="2"/>
  <c r="D139" i="2"/>
  <c r="D140" i="2"/>
  <c r="E49" i="3"/>
  <c r="E52" i="3" s="1"/>
  <c r="D52" i="3"/>
  <c r="D121" i="2"/>
  <c r="D128" i="2" s="1"/>
  <c r="C121" i="2"/>
  <c r="C120" i="2"/>
  <c r="F126" i="2" l="1"/>
  <c r="F119" i="2"/>
  <c r="C128" i="2"/>
  <c r="E121" i="2"/>
  <c r="E128" i="2" s="1"/>
  <c r="F122" i="2" l="1"/>
  <c r="F123" i="2"/>
  <c r="F124" i="2"/>
  <c r="F125" i="2"/>
  <c r="F127" i="2"/>
  <c r="F120" i="2"/>
  <c r="F121" i="2"/>
  <c r="G119" i="2"/>
  <c r="G129" i="2" s="1"/>
  <c r="G130" i="2" s="1"/>
  <c r="G131" i="2" s="1"/>
</calcChain>
</file>

<file path=xl/sharedStrings.xml><?xml version="1.0" encoding="utf-8"?>
<sst xmlns="http://schemas.openxmlformats.org/spreadsheetml/2006/main" count="1031" uniqueCount="438">
  <si>
    <t>Facility Name</t>
  </si>
  <si>
    <t>Owner</t>
  </si>
  <si>
    <t>Sector</t>
  </si>
  <si>
    <t>Activity</t>
  </si>
  <si>
    <t>City</t>
  </si>
  <si>
    <t>Production capacity</t>
  </si>
  <si>
    <t>Production capacity u.m.</t>
  </si>
  <si>
    <t>Yearly CO2 emission [kg/year]</t>
  </si>
  <si>
    <t>La marmora power station</t>
  </si>
  <si>
    <t>A2A Calore &amp; Servizi S.r.l.</t>
  </si>
  <si>
    <t>Energy</t>
  </si>
  <si>
    <t>Thermal power stations and other combustion installations</t>
  </si>
  <si>
    <t>BRESCIA</t>
  </si>
  <si>
    <t>Mwel</t>
  </si>
  <si>
    <t>CENTRALE TERMOELETTRICA SERMIDE</t>
  </si>
  <si>
    <t>A2A GENCOGAS S.r.l.</t>
  </si>
  <si>
    <t>SERMIDE</t>
  </si>
  <si>
    <t>ALTO GARDA POWER</t>
  </si>
  <si>
    <t>ALTO GARDA POWER S.R.L.</t>
  </si>
  <si>
    <t>Riva Del Garda</t>
  </si>
  <si>
    <t>CENTRALE A CICLO COMBINATO DI TURANO LODIGIANO E BERTONICO</t>
  </si>
  <si>
    <t>Sorgenia Power S.p.A.</t>
  </si>
  <si>
    <t>Bolgiano power station</t>
  </si>
  <si>
    <t>Eni S.p.A.</t>
  </si>
  <si>
    <t>SAN DONATO MILANESE</t>
  </si>
  <si>
    <t>Centrale di Cogenerazione di Malpensa</t>
  </si>
  <si>
    <t>FERNO</t>
  </si>
  <si>
    <t>CENTRALE DI LEINI'</t>
  </si>
  <si>
    <t>Engie Italia</t>
  </si>
  <si>
    <t>LEINI'</t>
  </si>
  <si>
    <t>centrale di Tavazzano e  Montanaso</t>
  </si>
  <si>
    <t>EP Produzione SpA</t>
  </si>
  <si>
    <t>Enel</t>
  </si>
  <si>
    <t>ALESSANDRIA</t>
  </si>
  <si>
    <t>Centrale Termoelettrica del Mincio</t>
  </si>
  <si>
    <t>A2A gencogas S.p.A.</t>
  </si>
  <si>
    <t>PONTI SUL MINCIO</t>
  </si>
  <si>
    <t>CENTRALE TERMOELETTRICA DI CASSANO D'ADDA</t>
  </si>
  <si>
    <t>CASSANO D'ADDA</t>
  </si>
  <si>
    <t>CENTRALE TERMOELETTRICA DI CHIVASSO</t>
  </si>
  <si>
    <t>CHIVASSO</t>
  </si>
  <si>
    <t>CENTRALE TERMOELETTRICA DI COGENERAZIONE DI MONCALIERI</t>
  </si>
  <si>
    <t>IREN energia</t>
  </si>
  <si>
    <t>MONCALIERI</t>
  </si>
  <si>
    <t>CENTRALE TERMOELETTRICA DI COGENERAZIONE TORINO NORD</t>
  </si>
  <si>
    <t>Iren SpA</t>
  </si>
  <si>
    <t>TORINO</t>
  </si>
  <si>
    <t>CENTRALE TERMOELETTRICA DI MARGHERA LEVANTE</t>
  </si>
  <si>
    <t>Edison SpA</t>
  </si>
  <si>
    <t>VENEZIA</t>
  </si>
  <si>
    <t>Centrale Termoelettrica di Monfalcone</t>
  </si>
  <si>
    <t>A2A Energiefuture S.p.A.</t>
  </si>
  <si>
    <t>MONFALCONE</t>
  </si>
  <si>
    <t>Centrale termoelettrica di Ostiglia</t>
  </si>
  <si>
    <t>OSTIGLIA</t>
  </si>
  <si>
    <t>Centrale Termoelettrica di Piacenza</t>
  </si>
  <si>
    <t>PIACENZA</t>
  </si>
  <si>
    <t>CENTRALE TERMOELETTRICA DI SESTO SAN GIOVANNI</t>
  </si>
  <si>
    <t>SESTO SAN GIOVANNI</t>
  </si>
  <si>
    <t>CENTRALE TERMOELETTRICA DI TORVISCOSA</t>
  </si>
  <si>
    <t>TORVISCOSA</t>
  </si>
  <si>
    <t>Centrale Vado Ligure</t>
  </si>
  <si>
    <t>Tirreno Power</t>
  </si>
  <si>
    <t>QUILIANO</t>
  </si>
  <si>
    <t>POWER PLANT NORTH C.LE LA CASELLA</t>
  </si>
  <si>
    <t>Enel Produzione S.p.A.</t>
  </si>
  <si>
    <t>CASTEL SAN GIOVANNI</t>
  </si>
  <si>
    <t>Centrale della Spezia "Eugenio Montale"</t>
  </si>
  <si>
    <t xml:space="preserve">Enel Produzione S.P.A. </t>
  </si>
  <si>
    <t>LA SPEZIA</t>
  </si>
  <si>
    <t>CENTRALE A CICLO COMBINATO DI PORTO CORSINI</t>
  </si>
  <si>
    <t>SAN GIOVANNI</t>
  </si>
  <si>
    <t>ENERGIA PULITA SPA</t>
  </si>
  <si>
    <t>Acegas-Aps SpA</t>
  </si>
  <si>
    <t>GORIZIA</t>
  </si>
  <si>
    <t>ENGIE SERVIZI S.p.A</t>
  </si>
  <si>
    <t>Combustion of fuels in installations with a total rated thermal input of 50 MW or more</t>
  </si>
  <si>
    <t>Cuneo</t>
  </si>
  <si>
    <t>-</t>
  </si>
  <si>
    <t>EniPower  stabilimento di Ravenna</t>
  </si>
  <si>
    <t>EniPower</t>
  </si>
  <si>
    <t>RAVENNA</t>
  </si>
  <si>
    <t>EniPower Mantova S.p.A.</t>
  </si>
  <si>
    <t>MANTOVA</t>
  </si>
  <si>
    <t>Iplom S.p.A - Raffineria di Busalla</t>
  </si>
  <si>
    <t>Iplom S.p.A.</t>
  </si>
  <si>
    <t>Mineral oil and gas refineries</t>
  </si>
  <si>
    <t>BUSALLA</t>
  </si>
  <si>
    <t>Verzuolo power station</t>
  </si>
  <si>
    <t>GEVER S.P.A.</t>
  </si>
  <si>
    <t>VERZUOLO</t>
  </si>
  <si>
    <t>Andrea Palladio power station</t>
  </si>
  <si>
    <t>Enel SpA</t>
  </si>
  <si>
    <t>FUSINA</t>
  </si>
  <si>
    <t>RAFFINERIA DI SANNAZZARO DE' BURGONDI</t>
  </si>
  <si>
    <t>SANNAZZARO DE' BURGONDI</t>
  </si>
  <si>
    <t>Raffineria di Venezia</t>
  </si>
  <si>
    <t>Centrale termoelettrica di Turbigo</t>
  </si>
  <si>
    <t>IREN ENERGIA S.p.A.</t>
  </si>
  <si>
    <t>TURBIGO</t>
  </si>
  <si>
    <t>IREN ENERGIA SpA - Polo Energetico Hiroshima</t>
  </si>
  <si>
    <t>REGGIO NELL'EMILIA</t>
  </si>
  <si>
    <t>Novel power station</t>
  </si>
  <si>
    <t>Novel S.p.A.</t>
  </si>
  <si>
    <t>NOVARA</t>
  </si>
  <si>
    <t>S.E.F. S.R.L. SOCIETA' ENIPOWER FERRARA S.R.L.</t>
  </si>
  <si>
    <t>FERRARA</t>
  </si>
  <si>
    <t>RAFFINERIA SARPOM DI TRECATE</t>
  </si>
  <si>
    <t>TRECATE</t>
  </si>
  <si>
    <t>stabilimento di Ferrera Erbognone</t>
  </si>
  <si>
    <t>FERRERA ERBOGNONE</t>
  </si>
  <si>
    <t>Voghera Energia S.p.A.</t>
  </si>
  <si>
    <t>VOGHERA</t>
  </si>
  <si>
    <t>Reference year</t>
  </si>
  <si>
    <t>IREN AMBIENTE S.p.A. (CENTRO STOCCAGGIO E TRATTAMENTO RIFIUTI)</t>
  </si>
  <si>
    <t>IREN</t>
  </si>
  <si>
    <t>Waste</t>
  </si>
  <si>
    <t>Installations for the incineration of non-hazardous waste in the scope of Directive 2000/76/EC of the European Parliament and of the Council of 4 December 2000 on the incineration of waste</t>
  </si>
  <si>
    <t>Termovalorizzatore di Rimini</t>
  </si>
  <si>
    <t>HERAMBIENTE s.p.a</t>
  </si>
  <si>
    <t>CORIANO</t>
  </si>
  <si>
    <t>HERAMBIENTE Spa -Termovalorizzatore</t>
  </si>
  <si>
    <t>HERAMBIENTE - 3^ LINEA</t>
  </si>
  <si>
    <t>FORLI'</t>
  </si>
  <si>
    <t>TERMOVALORIZZATORE - PAIP</t>
  </si>
  <si>
    <t>Installations for the disposal of non-hazardous waste</t>
  </si>
  <si>
    <t>PARMA</t>
  </si>
  <si>
    <t>HERAMBIENTE S.R.L.  - IMPIANTO DI TERMOVALORIZZAZIONE RIFIUTI NON PERICOLOSI</t>
  </si>
  <si>
    <t>MODENA</t>
  </si>
  <si>
    <t>FRULLO ENERGIA AMBIENTE S.R.L.</t>
  </si>
  <si>
    <t>Fea S.r.l.</t>
  </si>
  <si>
    <t>GRANAROLO DELL'EMILIA</t>
  </si>
  <si>
    <t>TERMOVALORIZZATORE COMO</t>
  </si>
  <si>
    <t>Acinque S.r.l.</t>
  </si>
  <si>
    <t>COMO</t>
  </si>
  <si>
    <t>LOMELLINA ENERGIA</t>
  </si>
  <si>
    <t>Lomellina Energia S.r.l.</t>
  </si>
  <si>
    <t>Parona</t>
  </si>
  <si>
    <t>Impianto di termovalorizzazione di Valmadrera</t>
  </si>
  <si>
    <t>Silea S.p.a.</t>
  </si>
  <si>
    <t>VALMADRERA</t>
  </si>
  <si>
    <t>Impianto di Termovalorizzazione di San Lazzaro (PD)</t>
  </si>
  <si>
    <t>Herambiente</t>
  </si>
  <si>
    <t>PADOVA</t>
  </si>
  <si>
    <t>Impianto di Termovalorizzazione Rifiuti di Trieste</t>
  </si>
  <si>
    <t>TRIESTE</t>
  </si>
  <si>
    <t>Termovalorizzatore di Dalmine</t>
  </si>
  <si>
    <t>REA Dalmine SpA</t>
  </si>
  <si>
    <t>DALMINE</t>
  </si>
  <si>
    <t>TermoTrezzo</t>
  </si>
  <si>
    <t>PRIMA s.r.l.</t>
  </si>
  <si>
    <t>TREZZO SULL'ADDA</t>
  </si>
  <si>
    <t>TRM - TERMOVALORIZZATORE DEL GERBIDO</t>
  </si>
  <si>
    <t>TRM S.p.A. (Iren group)</t>
  </si>
  <si>
    <t>A2A</t>
  </si>
  <si>
    <t>MILANO</t>
  </si>
  <si>
    <t>estimated - generic year</t>
  </si>
  <si>
    <t>TERMOVALORIZZATORE DI BRESCIA</t>
  </si>
  <si>
    <t>CREMONA</t>
  </si>
  <si>
    <t>TERMOVALORIZZATORE BUSTO ARSIZIO</t>
  </si>
  <si>
    <t>Associazione Consortile dei Comuni dell'Alto Milanese</t>
  </si>
  <si>
    <t>BUSTO ARSIZIO</t>
  </si>
  <si>
    <t>TERMOVALORIZZATORE DI DESIO</t>
  </si>
  <si>
    <t>Brianza Energia Ambiente S.p.A.</t>
  </si>
  <si>
    <t>DESIO</t>
  </si>
  <si>
    <t>TERMOVALORIZZATORE DI CORTEOLONA E GENZONE</t>
  </si>
  <si>
    <t>trattamenti RSU per produzione  CCS per termovalorizzatore</t>
  </si>
  <si>
    <t>PAVIA</t>
  </si>
  <si>
    <t>TERMOVALORIZZATORE DI BOLZANO</t>
  </si>
  <si>
    <t>Eco center S.p.A.</t>
  </si>
  <si>
    <t>BOLZANO</t>
  </si>
  <si>
    <t>TERMOVALORIZZAOTRE DI VERONA</t>
  </si>
  <si>
    <t>AMIA (gruppo AGSM)</t>
  </si>
  <si>
    <t>VERONA</t>
  </si>
  <si>
    <t>Italcementi Calusco D'Adda</t>
  </si>
  <si>
    <t>ITALCEMENTI S.p.A.</t>
  </si>
  <si>
    <t>Cement</t>
  </si>
  <si>
    <t>Installationsfortheproductionofcementclinkerinrotarykilns,limeinrotarykilns,cementorlimeinotherfurnaces.Notetoreporters,useLevel3activitye.g.3(c)(i),inpreferenceto3(c).Level2activityclass(i.e.3(c))onlytobeusedwhereLevel3isnotavailable.</t>
  </si>
  <si>
    <t>CALUSCOD'ADDA</t>
  </si>
  <si>
    <t>ton/year</t>
  </si>
  <si>
    <t>Holcim (Italia) S.p.A.-unità produttiva di Ternate</t>
  </si>
  <si>
    <t>Holcim S.p.A.</t>
  </si>
  <si>
    <t>BUZZI UNICEM S.p.A.</t>
  </si>
  <si>
    <t>FANNA</t>
  </si>
  <si>
    <t>Cementirossi - Cementeria di Pederobba</t>
  </si>
  <si>
    <t>INDUSTRIA CEMENTI GIOVANNI ROSSI S.p.A.</t>
  </si>
  <si>
    <t>PEDEROBBA</t>
  </si>
  <si>
    <t>Cementirossi - Cementeria di Piacenza</t>
  </si>
  <si>
    <t>Italcementi di Rezzato</t>
  </si>
  <si>
    <t>REZZATO</t>
  </si>
  <si>
    <t>STABILIMENTO DI PONTE DELLA PRIULA</t>
  </si>
  <si>
    <t>SUPERBETON S.p.A.</t>
  </si>
  <si>
    <t>SUSEGANA</t>
  </si>
  <si>
    <t>Stabilimento di Tavernola Bergamasca</t>
  </si>
  <si>
    <t>SACCI S.p.A.</t>
  </si>
  <si>
    <t>TAVERNOLABERGAMASCA</t>
  </si>
  <si>
    <t>VERNASCA</t>
  </si>
  <si>
    <t>ROBILANTE</t>
  </si>
  <si>
    <t>Installations for the production of cement clinker in rotary kilns</t>
  </si>
  <si>
    <t>MONSELICE</t>
  </si>
  <si>
    <t>Colacem - Stabilimento di Caravate</t>
  </si>
  <si>
    <t>COLACEM S.P.A.</t>
  </si>
  <si>
    <t>CARAVATE</t>
  </si>
  <si>
    <t>Feralpi Siderurgica S.p.A</t>
  </si>
  <si>
    <t>Steel</t>
  </si>
  <si>
    <t>Installations for the production of pig iron or steel (primary or secondary melting) including continuous casting</t>
  </si>
  <si>
    <t>LONATO</t>
  </si>
  <si>
    <t>ACCIAIERIE BERTOLI SAFAU SPA</t>
  </si>
  <si>
    <t>Acciaierie Bertoli Safau SpA</t>
  </si>
  <si>
    <t>POZZUOLO DEL FRIULI</t>
  </si>
  <si>
    <t>FERRIERE NORD STABILIMENTO DI OSOPPO</t>
  </si>
  <si>
    <t>Ferriere Nord SpA</t>
  </si>
  <si>
    <t>OSOPPO</t>
  </si>
  <si>
    <t>Tenaris Dalmine - Stabilimento di Dalmine</t>
  </si>
  <si>
    <t>Dalmine SpA</t>
  </si>
  <si>
    <t>Ori Martin Brescia steel plant</t>
  </si>
  <si>
    <t>ORI Martin - Acciaieria e Ferriera di Brescia SpA</t>
  </si>
  <si>
    <t>Production of pig iron or steel (primary or secondary fusion) including continuous casting, with a capacity exceeding 2.5 tonnes per hour</t>
  </si>
  <si>
    <t>n°of plants</t>
  </si>
  <si>
    <t>TOT</t>
  </si>
  <si>
    <t>total emissions [kgCO2/year]</t>
  </si>
  <si>
    <t>total emissions [Mton_CO2/year]</t>
  </si>
  <si>
    <t>SECTOR</t>
  </si>
  <si>
    <t>PPC S.A. SES AGIOY DHMHTRIOY</t>
  </si>
  <si>
    <t>AGIOS DIMITRIOS, ELLISPONTOS</t>
  </si>
  <si>
    <t>PPC S.A. SES KARDIAS</t>
  </si>
  <si>
    <t>KARDIA, YPSILANTIS</t>
  </si>
  <si>
    <t>MOTOR OIL (HELLAS) - CORINTHOS REFINERIES S.A.</t>
  </si>
  <si>
    <t>SOUSSAKI, AG. THEODORI</t>
  </si>
  <si>
    <t>PPC S.A. SES KERATEAS-LAYRIOY</t>
  </si>
  <si>
    <t>KERATEA</t>
  </si>
  <si>
    <t>HELLENIC PETROLEUM S.A. - INDUSTRIAL DIVISION OF ASPROPYRGOS</t>
  </si>
  <si>
    <t>ASPROPYRGOS</t>
  </si>
  <si>
    <t>HELLENIC PETROLEUM S.A. –SOUTH REFINERIES COMPLEX – ELEFSIS INDUSTRIAL FACILITIES</t>
  </si>
  <si>
    <t>ELEFSIS</t>
  </si>
  <si>
    <t>PPC S.A. SES LINOPERAMATON</t>
  </si>
  <si>
    <t>GAZI</t>
  </si>
  <si>
    <t>PPC S.A. SES ATHERINOLAKKOY</t>
  </si>
  <si>
    <t>LEFKI</t>
  </si>
  <si>
    <t>PPC S.A. SES KOMOTINIS</t>
  </si>
  <si>
    <t>KOMOTINI</t>
  </si>
  <si>
    <t>PPC S.A. SES ALIVERIOY</t>
  </si>
  <si>
    <t>TAMINEI</t>
  </si>
  <si>
    <t>PPC S.A. SES RODOY</t>
  </si>
  <si>
    <t>SORONI</t>
  </si>
  <si>
    <t>PPC S.A. SES CHANION (ex PPC S.A. SES HANION)</t>
  </si>
  <si>
    <t>CHANIA</t>
  </si>
  <si>
    <t>KORINTHOS POWER S.A.</t>
  </si>
  <si>
    <t>HERON II VIOTIA S.A.</t>
  </si>
  <si>
    <t>THIVA</t>
  </si>
  <si>
    <t>PPC S.A. LIGNITIKI MEGALOPOLIS (SES UNIT ΙV)</t>
  </si>
  <si>
    <t>MEGALOPOLI</t>
  </si>
  <si>
    <t>HELLENIC PETROLEUM S.A. - THESSALONIKI INDUSTRIAL COMPLEX</t>
  </si>
  <si>
    <t>ECHEDOROS</t>
  </si>
  <si>
    <t>PPC S.A. SES MEGALOPOLIS, UNIT V</t>
  </si>
  <si>
    <t>PPC S.A. AES LESVOS</t>
  </si>
  <si>
    <t>NORTH AEGEAN, LESVOS</t>
  </si>
  <si>
    <t>PPC S.A. AES KOS</t>
  </si>
  <si>
    <t>SOUTH AEGEAN, KOS</t>
  </si>
  <si>
    <t>PPC S.A. LIGNITIKI MELITIS (UNIT I)</t>
  </si>
  <si>
    <t>FLORINA</t>
  </si>
  <si>
    <t>PROTERGIA POWER PLANT</t>
  </si>
  <si>
    <t>DISTOMO</t>
  </si>
  <si>
    <t>PPC S.A. AES CHIOS</t>
  </si>
  <si>
    <t>NORTH AEGEAN, CHIOS</t>
  </si>
  <si>
    <t>ELPEDISON S.A.- THISVI POWER PLANT</t>
  </si>
  <si>
    <t>THISVI</t>
  </si>
  <si>
    <t>ELPEDISON S.A. -THESSALONIKI POWER PLANT</t>
  </si>
  <si>
    <t>THESSALONIKI</t>
  </si>
  <si>
    <t>PPC S.A. - AES THIRA</t>
  </si>
  <si>
    <t>THIRAS</t>
  </si>
  <si>
    <t>PPC S.A. SOUTHERN RHODES TPP</t>
  </si>
  <si>
    <t>KATTAVIA</t>
  </si>
  <si>
    <t>HERACLES G.C.Co, MILAKI PLANT</t>
  </si>
  <si>
    <t>Installations for the production of cement clinker in rotary kilns, lime in rotary kilns, cement or lime in other furnaces. Note to reporters, use Level 3 activity e.g. 3(c)(i), in preference to 3(c). Level 2 activity class (i.e. 3(c)) only to be used where Level 3 is not available.</t>
  </si>
  <si>
    <t>ALIVERI</t>
  </si>
  <si>
    <t>TITAN CEMENT S.A. - KAMARI PLANT</t>
  </si>
  <si>
    <t>KAMARI, DERVENOCHORIA</t>
  </si>
  <si>
    <t>HERACLES G.C.Co, VOLOS PLANT</t>
  </si>
  <si>
    <t>PORTARIA</t>
  </si>
  <si>
    <t>TITAN CEMENT S.A. - THESSALONIKI PLANT</t>
  </si>
  <si>
    <t>EYKARPIA</t>
  </si>
  <si>
    <t>TITAN CEMENT S.A. - DREPANO PLANT</t>
  </si>
  <si>
    <t>RION</t>
  </si>
  <si>
    <t>HALYPS BUILDING MATERIALS S.A.</t>
  </si>
  <si>
    <t>kton/year</t>
  </si>
  <si>
    <t>Sovel Almyros steel plant</t>
  </si>
  <si>
    <t>SOVEL S.A</t>
  </si>
  <si>
    <t>PPC S.A.</t>
  </si>
  <si>
    <t>HELLENIC PETROLEUM S.A.</t>
  </si>
  <si>
    <t>ELPEDISON S.A.</t>
  </si>
  <si>
    <t>TITAN CEMENT S.A.</t>
  </si>
  <si>
    <t>CORINTHOS REFINERIES S.A.</t>
  </si>
  <si>
    <t>HERACLES G.C.Co</t>
  </si>
  <si>
    <t>PROTERGIA</t>
  </si>
  <si>
    <t>PPC S.A</t>
  </si>
  <si>
    <t>HALYPS BUILDING MATERIALS</t>
  </si>
  <si>
    <t>MW</t>
  </si>
  <si>
    <t>A2A environmental declaration. The quantity reported on the declaration, referred only to fossil CO2 emissions, was divided for 0.48, which represents the average percentage of fossil CO2 in municipal waste, as reported in the literature by Mohn et al. [https://doi.org/10.1016/j.wasman.2012.04.002]</t>
  </si>
  <si>
    <t>Estimated - the plant waste treatment capacity was multiplied by an average emission factor 1.116 ton_CO2 per ton of treated waste. This emission factor was calculated as the average specific emission of the WtE plants present in the database whose emissions are known</t>
  </si>
  <si>
    <t>Finarvedi Cremona steel plant</t>
  </si>
  <si>
    <t>Acciaieria Arvedi SpA</t>
  </si>
  <si>
    <t>ton/day</t>
  </si>
  <si>
    <t>FANNA cement plant</t>
  </si>
  <si>
    <t>MONSELICE cement plant</t>
  </si>
  <si>
    <t>ROBILANTE cement plant</t>
  </si>
  <si>
    <t>VERNASCA cement plant</t>
  </si>
  <si>
    <t>FILE CONTENTS</t>
  </si>
  <si>
    <t>VERSION RELEASE</t>
  </si>
  <si>
    <t>DATE</t>
  </si>
  <si>
    <r>
      <t>1</t>
    </r>
    <r>
      <rPr>
        <vertAlign val="superscript"/>
        <sz val="11"/>
        <color theme="1"/>
        <rFont val="Calibri"/>
        <family val="2"/>
        <scheme val="minor"/>
      </rPr>
      <t>st</t>
    </r>
    <r>
      <rPr>
        <sz val="11"/>
        <color theme="1"/>
        <rFont val="Calibri"/>
        <family val="2"/>
        <scheme val="minor"/>
      </rPr>
      <t xml:space="preserve"> version</t>
    </r>
  </si>
  <si>
    <t>CONTACTS</t>
  </si>
  <si>
    <t>Chiara Artini</t>
  </si>
  <si>
    <t>chiara.artini@polimi.it</t>
  </si>
  <si>
    <t>Edoardo De Lena</t>
  </si>
  <si>
    <t>edoardo.delena@polimi.it</t>
  </si>
  <si>
    <t>Maurizio Spinelli</t>
  </si>
  <si>
    <t>maurizio.spinelli@polimi.it</t>
  </si>
  <si>
    <t xml:space="preserve">DATA SOURCE </t>
  </si>
  <si>
    <t>The file contains the yearly CO2 emissions of the main emission point sources of the following sectors: Energy, Waste to Energy, Cement, Steel</t>
  </si>
  <si>
    <t>NOTES</t>
  </si>
  <si>
    <t>Data source and comments</t>
  </si>
  <si>
    <t>the emissions data are taken from the European Industrial Emissions Portal [https://industry.eea.europa.eu/] unless differntly specified in the column "Data source and comments"</t>
  </si>
  <si>
    <t>ALMYROS</t>
  </si>
  <si>
    <t>The selected emission sources are those that emits more than 100 kton_CO2 per year</t>
  </si>
  <si>
    <t xml:space="preserve">Installations for the production of pig iron or steel (primary or secondary melting) including continuous casting </t>
  </si>
  <si>
    <t>BERTONICO - TURANO LODIGIANO</t>
  </si>
  <si>
    <t>MONTANASO LOMBARDO - TAVAZZANO</t>
  </si>
  <si>
    <t>TERNATE</t>
  </si>
  <si>
    <t>Alfa Acciai Brescia</t>
  </si>
  <si>
    <t>Alfacciai SpA</t>
  </si>
  <si>
    <t>TLR IMOLA - CENTRALE COGEN CASALEGNO</t>
  </si>
  <si>
    <t>Hera</t>
  </si>
  <si>
    <t>IMOLA</t>
  </si>
  <si>
    <t>Centrale termoelettrica Alessandria - Spinetta Marengo</t>
  </si>
  <si>
    <t>FERRERO INDUSTRIALE ITALIA S.r.l. con socio unico - Stabilimento di Alba</t>
  </si>
  <si>
    <t>ALBA</t>
  </si>
  <si>
    <t>SILLA 2</t>
  </si>
  <si>
    <t>Feralpi Calvisano Lonato steel plant</t>
  </si>
  <si>
    <t>Acciaierie Di Calvisano SpA</t>
  </si>
  <si>
    <t>Acciaierie Venete S.p.A. stabilimento di Riviera Francia</t>
  </si>
  <si>
    <t>AFV Accaierie Beltrame Vicenza steel plant</t>
  </si>
  <si>
    <t>AFV Accaierie Beltrame SpA</t>
  </si>
  <si>
    <t>VICENZA</t>
  </si>
  <si>
    <t>LONATO (BS)</t>
  </si>
  <si>
    <t>RIVIERA FRANCIA (PD)</t>
  </si>
  <si>
    <r>
      <t>2</t>
    </r>
    <r>
      <rPr>
        <vertAlign val="superscript"/>
        <sz val="11"/>
        <color theme="1"/>
        <rFont val="Calibri"/>
        <family val="2"/>
        <scheme val="minor"/>
      </rPr>
      <t>nd</t>
    </r>
    <r>
      <rPr>
        <sz val="11"/>
        <color theme="1"/>
        <rFont val="Calibri"/>
        <family val="2"/>
        <scheme val="minor"/>
      </rPr>
      <t>version</t>
    </r>
  </si>
  <si>
    <t>Chemicals</t>
  </si>
  <si>
    <t>CABOT ITALIANA S.P.A.</t>
  </si>
  <si>
    <t>Cabot Corporation</t>
  </si>
  <si>
    <t>Industrial rubber products and tires</t>
  </si>
  <si>
    <t>Columbian Carbon Europa S.r.l.</t>
  </si>
  <si>
    <t>Birla carbon italy S.r.l.</t>
  </si>
  <si>
    <t>Carbon black production</t>
  </si>
  <si>
    <t>Polynt S.p.A.</t>
  </si>
  <si>
    <t>Chemical products</t>
  </si>
  <si>
    <t>Cartiere Villa Lagarina</t>
  </si>
  <si>
    <t>Pro-Gest Group</t>
  </si>
  <si>
    <t>Paper</t>
  </si>
  <si>
    <t>Paper products</t>
  </si>
  <si>
    <t>LAGARINA (TN)</t>
  </si>
  <si>
    <t>Polynt group</t>
  </si>
  <si>
    <t>BERGAMO</t>
  </si>
  <si>
    <t>Stabilimento di  Scanzorosciate</t>
  </si>
  <si>
    <t>Stabilimento di  Mantova</t>
  </si>
  <si>
    <t>Stabilimento di Porto Marghera</t>
  </si>
  <si>
    <t>Porto Marghera (VE)</t>
  </si>
  <si>
    <t>Eni Versalis</t>
  </si>
  <si>
    <t>Isopropyl alcohol rpoduction</t>
  </si>
  <si>
    <t>YARA Italia S.p.A.</t>
  </si>
  <si>
    <t>Stabilimento Ferrara</t>
  </si>
  <si>
    <t>Fertilizers</t>
  </si>
  <si>
    <t>Cartiere Villa Lagarina, stabilimento Mantova</t>
  </si>
  <si>
    <t>strano, solo dati 2021</t>
  </si>
  <si>
    <t>Stabilimento di Tolmezzo</t>
  </si>
  <si>
    <t>Mosaico S.r.l.</t>
  </si>
  <si>
    <t>TOLMEZZO (UD)</t>
  </si>
  <si>
    <t>Stabilimento di Duino</t>
  </si>
  <si>
    <t>Cartiere Burgo S.p.A.</t>
  </si>
  <si>
    <t>%</t>
  </si>
  <si>
    <t>Unicalce S.p.A.</t>
  </si>
  <si>
    <t>Stabilimento Bernezzo</t>
  </si>
  <si>
    <t>BERNEZZO</t>
  </si>
  <si>
    <t>Lime</t>
  </si>
  <si>
    <t>Lime production</t>
  </si>
  <si>
    <t>Stabilimento di Cuneo</t>
  </si>
  <si>
    <t>Flat glass italia S.r.l.</t>
  </si>
  <si>
    <t>Glass</t>
  </si>
  <si>
    <t>Flat glass production</t>
  </si>
  <si>
    <t>CUNEO</t>
  </si>
  <si>
    <t>Veralia S.p.A.</t>
  </si>
  <si>
    <t>Stabilimento dio Dego</t>
  </si>
  <si>
    <t>SAVONA</t>
  </si>
  <si>
    <t>Glass production</t>
  </si>
  <si>
    <t>Stablimento di Val Brembilla</t>
  </si>
  <si>
    <t>Italsacci</t>
  </si>
  <si>
    <t>Cement production</t>
  </si>
  <si>
    <t>Stabilimento Montichiari</t>
  </si>
  <si>
    <t>Fassa U.P.</t>
  </si>
  <si>
    <t>Construction elements</t>
  </si>
  <si>
    <t>Stabilimento di Cerano Dolcè</t>
  </si>
  <si>
    <t>Stabilimento di Gazzano Veronese</t>
  </si>
  <si>
    <t>Satbilimento di Ponte Priula</t>
  </si>
  <si>
    <t>Fornaci Calce Grigolin S.p.A.</t>
  </si>
  <si>
    <t>TREVISO</t>
  </si>
  <si>
    <t>Pilkington italia</t>
  </si>
  <si>
    <t xml:space="preserve">Sisecam flat glass </t>
  </si>
  <si>
    <t>UDINE</t>
  </si>
  <si>
    <t>Cogne acciai speciali</t>
  </si>
  <si>
    <t>Steel production</t>
  </si>
  <si>
    <t>AOSTA</t>
  </si>
  <si>
    <t>Region</t>
  </si>
  <si>
    <t>PIEMONTE</t>
  </si>
  <si>
    <t>VALLE D'AOSTA</t>
  </si>
  <si>
    <t>LOMBARDIA</t>
  </si>
  <si>
    <t>TRENTINO ALTO ADIGE</t>
  </si>
  <si>
    <t>EMILIA ROMAGNA</t>
  </si>
  <si>
    <t>LIGURIA</t>
  </si>
  <si>
    <t>VENETO</t>
  </si>
  <si>
    <t>FRIULI VENEZIA GIULIA</t>
  </si>
  <si>
    <t>DUINO (TS)</t>
  </si>
  <si>
    <t>REGION</t>
  </si>
  <si>
    <t>FRIULI V. G.</t>
  </si>
  <si>
    <t>Dati nostri</t>
  </si>
  <si>
    <t>interested emissions [kgCO2/year]</t>
  </si>
  <si>
    <t>Dati SNAM 2030</t>
  </si>
  <si>
    <t>Dati SNAM 2040</t>
  </si>
  <si>
    <t>Refining</t>
  </si>
  <si>
    <t>ceramica+carbon removal</t>
  </si>
  <si>
    <t>Cogeneration plant</t>
  </si>
  <si>
    <t>SAINT NICHOLAS</t>
  </si>
  <si>
    <t xml:space="preserve">PPC S.A. SAINT NICHOLAS </t>
  </si>
  <si>
    <t> 1.396.905.000</t>
  </si>
  <si>
    <t>PPC S.A. CHIO</t>
  </si>
  <si>
    <t>CHIO</t>
  </si>
  <si>
    <t xml:space="preserve">Dati nord italia 2021 </t>
  </si>
  <si>
    <t>Waste to energy</t>
  </si>
  <si>
    <t>TOTALE NORD ITALIA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</si>
</sst>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0_-;\-* #,##0.0_-;_-* &quot;-&quot;??_-;_-@_-"/>
    <numFmt numFmtId="166" formatCode="_-* #,##0_-;\-* #,##0_-;_-* &quot;-&quot;??_-;_-@_-"/>
    <numFmt numFmtId="167" formatCode="_-* #,##0\ _€_-;\-* #,##0\ _€_-;_-* &quot;-&quot;??\ _€_-;_-@_-"/>
  </numFmts>
  <fonts count="11" x14ac:knownFonts="1">
    <font>
      <sz val="11"/>
      <color theme="1"/>
      <name val="Calibri"/>
      <family val="2"/>
      <scheme val="minor"/>
    </font>
    <font>
      <sz val="11"/>
      <color theme="1"/>
      <name val="Calibri"/>
      <family val="2"/>
      <scheme val="minor"/>
    </font>
    <font>
      <b/>
      <sz val="11"/>
      <color theme="4" tint="-0.249977111117893"/>
      <name val="Calibri"/>
      <family val="2"/>
      <scheme val="minor"/>
    </font>
    <font>
      <sz val="11"/>
      <color theme="4" tint="-0.249977111117893"/>
      <name val="Calibri"/>
      <family val="2"/>
      <scheme val="minor"/>
    </font>
    <font>
      <b/>
      <sz val="11"/>
      <color theme="1"/>
      <name val="Calibri"/>
      <family val="2"/>
      <scheme val="minor"/>
    </font>
    <font>
      <sz val="11"/>
      <color rgb="FF305496"/>
      <name val="Calibri"/>
      <family val="2"/>
      <scheme val="minor"/>
    </font>
    <font>
      <sz val="11"/>
      <color rgb="FF333333"/>
      <name val="Calibri"/>
      <family val="2"/>
      <scheme val="minor"/>
    </font>
    <font>
      <sz val="8"/>
      <name val="Calibri"/>
      <family val="2"/>
      <scheme val="minor"/>
    </font>
    <font>
      <u/>
      <sz val="11"/>
      <color theme="10"/>
      <name val="Calibri"/>
      <family val="2"/>
      <scheme val="minor"/>
    </font>
    <font>
      <vertAlign val="superscript"/>
      <sz val="11"/>
      <color theme="1"/>
      <name val="Calibri"/>
      <family val="2"/>
      <scheme val="minor"/>
    </font>
    <font>
      <sz val="10"/>
      <color theme="1"/>
      <name val="Arial"/>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rgb="FFFFFF00"/>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4">
    <xf numFmtId="0" fontId="0" fillId="0" borderId="0"/>
    <xf numFmtId="164" fontId="1" fillId="0" borderId="0" applyFont="0" applyFill="0" applyBorder="0" applyAlignment="0" applyProtection="0"/>
    <xf numFmtId="0" fontId="8" fillId="0" borderId="0" applyNumberFormat="0" applyFill="0" applyBorder="0" applyAlignment="0" applyProtection="0"/>
    <xf numFmtId="9" fontId="1" fillId="0" borderId="0" applyFont="0" applyFill="0" applyBorder="0" applyAlignment="0" applyProtection="0"/>
  </cellStyleXfs>
  <cellXfs count="80">
    <xf numFmtId="0" fontId="0" fillId="0" borderId="0" xfId="0"/>
    <xf numFmtId="0" fontId="2" fillId="0" borderId="4" xfId="0" applyFont="1" applyBorder="1"/>
    <xf numFmtId="0" fontId="2" fillId="0" borderId="3" xfId="0" applyFont="1" applyBorder="1"/>
    <xf numFmtId="0" fontId="3" fillId="2" borderId="4" xfId="0" applyFont="1" applyFill="1" applyBorder="1"/>
    <xf numFmtId="166" fontId="3" fillId="2" borderId="4" xfId="1" applyNumberFormat="1" applyFont="1" applyFill="1" applyBorder="1"/>
    <xf numFmtId="0" fontId="3" fillId="0" borderId="4" xfId="0" applyFont="1" applyBorder="1"/>
    <xf numFmtId="166" fontId="3" fillId="0" borderId="4" xfId="1" applyNumberFormat="1" applyFont="1" applyBorder="1"/>
    <xf numFmtId="0" fontId="3" fillId="2" borderId="2" xfId="0" applyFont="1" applyFill="1" applyBorder="1"/>
    <xf numFmtId="166" fontId="3" fillId="2" borderId="2" xfId="1" applyNumberFormat="1" applyFont="1" applyFill="1" applyBorder="1"/>
    <xf numFmtId="165" fontId="3" fillId="2" borderId="3" xfId="0" applyNumberFormat="1" applyFont="1" applyFill="1" applyBorder="1"/>
    <xf numFmtId="165" fontId="3" fillId="0" borderId="3" xfId="0" applyNumberFormat="1" applyFont="1" applyBorder="1"/>
    <xf numFmtId="165" fontId="3" fillId="2" borderId="1" xfId="1" applyNumberFormat="1" applyFont="1" applyFill="1" applyBorder="1"/>
    <xf numFmtId="0" fontId="3" fillId="0" borderId="0" xfId="0" applyFont="1"/>
    <xf numFmtId="164" fontId="0" fillId="0" borderId="0" xfId="1" applyFont="1"/>
    <xf numFmtId="164" fontId="0" fillId="3" borderId="0" xfId="1" applyFont="1" applyFill="1"/>
    <xf numFmtId="10" fontId="3" fillId="0" borderId="0" xfId="0" applyNumberFormat="1" applyFont="1"/>
    <xf numFmtId="0" fontId="6" fillId="0" borderId="0" xfId="0" applyFont="1"/>
    <xf numFmtId="0" fontId="0" fillId="0" borderId="0" xfId="0" applyAlignment="1">
      <alignment wrapText="1"/>
    </xf>
    <xf numFmtId="0" fontId="4" fillId="0" borderId="0" xfId="0" applyFont="1"/>
    <xf numFmtId="14" fontId="0" fillId="0" borderId="0" xfId="0" applyNumberFormat="1"/>
    <xf numFmtId="0" fontId="8" fillId="0" borderId="0" xfId="2"/>
    <xf numFmtId="0" fontId="5" fillId="0" borderId="0" xfId="0" applyFont="1"/>
    <xf numFmtId="166" fontId="0" fillId="0" borderId="0" xfId="1" applyNumberFormat="1" applyFont="1"/>
    <xf numFmtId="166" fontId="3" fillId="0" borderId="0" xfId="1" applyNumberFormat="1" applyFont="1"/>
    <xf numFmtId="0" fontId="10" fillId="0" borderId="0" xfId="0" applyFont="1" applyAlignment="1">
      <alignment vertical="top" wrapText="1"/>
    </xf>
    <xf numFmtId="0" fontId="3" fillId="2" borderId="0" xfId="0" applyFont="1" applyFill="1"/>
    <xf numFmtId="10" fontId="3" fillId="2" borderId="0" xfId="0" applyNumberFormat="1" applyFont="1" applyFill="1"/>
    <xf numFmtId="0" fontId="6" fillId="2" borderId="0" xfId="0" applyFont="1" applyFill="1"/>
    <xf numFmtId="0" fontId="0" fillId="4" borderId="0" xfId="0" applyFill="1"/>
    <xf numFmtId="0" fontId="2" fillId="0" borderId="3" xfId="0" applyFont="1" applyBorder="1" applyAlignment="1">
      <alignment horizontal="center" vertical="center"/>
    </xf>
    <xf numFmtId="10" fontId="0" fillId="5" borderId="5" xfId="3" applyNumberFormat="1" applyFont="1" applyFill="1" applyBorder="1" applyAlignment="1">
      <alignment horizontal="center" vertical="center"/>
    </xf>
    <xf numFmtId="164" fontId="3" fillId="2" borderId="2" xfId="1" applyFont="1" applyFill="1" applyBorder="1"/>
    <xf numFmtId="0" fontId="0" fillId="0" borderId="0" xfId="0" applyAlignment="1">
      <alignment horizontal="center" vertical="center"/>
    </xf>
    <xf numFmtId="0" fontId="0" fillId="5" borderId="1" xfId="0" applyFill="1" applyBorder="1"/>
    <xf numFmtId="10" fontId="0" fillId="0" borderId="5" xfId="3" applyNumberFormat="1" applyFont="1" applyFill="1" applyBorder="1" applyAlignment="1">
      <alignment horizontal="center" vertical="center"/>
    </xf>
    <xf numFmtId="0" fontId="2" fillId="0" borderId="4" xfId="0" applyFont="1" applyBorder="1" applyAlignment="1">
      <alignment horizontal="center" vertical="center"/>
    </xf>
    <xf numFmtId="0" fontId="3" fillId="2" borderId="4" xfId="0" applyFont="1" applyFill="1" applyBorder="1" applyAlignment="1">
      <alignment horizontal="center" vertical="center"/>
    </xf>
    <xf numFmtId="166" fontId="3" fillId="2" borderId="4" xfId="1" applyNumberFormat="1" applyFont="1" applyFill="1" applyBorder="1" applyAlignment="1">
      <alignment horizontal="center" vertical="center"/>
    </xf>
    <xf numFmtId="0" fontId="3" fillId="0" borderId="4" xfId="0" applyFont="1" applyBorder="1" applyAlignment="1">
      <alignment horizontal="center" vertical="center"/>
    </xf>
    <xf numFmtId="166" fontId="3" fillId="0" borderId="4" xfId="1" applyNumberFormat="1" applyFont="1" applyBorder="1" applyAlignment="1">
      <alignment horizontal="center" vertical="center"/>
    </xf>
    <xf numFmtId="2" fontId="3" fillId="2" borderId="4" xfId="1" applyNumberFormat="1" applyFont="1" applyFill="1" applyBorder="1" applyAlignment="1">
      <alignment horizontal="center" vertical="center"/>
    </xf>
    <xf numFmtId="2" fontId="3" fillId="0" borderId="4" xfId="1" applyNumberFormat="1" applyFont="1" applyBorder="1" applyAlignment="1">
      <alignment horizontal="center" vertical="center"/>
    </xf>
    <xf numFmtId="10" fontId="3" fillId="2" borderId="3" xfId="3" applyNumberFormat="1" applyFont="1" applyFill="1" applyBorder="1" applyAlignment="1">
      <alignment horizontal="center" vertical="center"/>
    </xf>
    <xf numFmtId="10" fontId="3" fillId="0" borderId="3" xfId="3" applyNumberFormat="1" applyFont="1" applyBorder="1" applyAlignment="1">
      <alignment horizontal="center" vertical="center"/>
    </xf>
    <xf numFmtId="166" fontId="0" fillId="0" borderId="0" xfId="0" applyNumberFormat="1"/>
    <xf numFmtId="9" fontId="0" fillId="0" borderId="0" xfId="3" applyFont="1"/>
    <xf numFmtId="166" fontId="0" fillId="0" borderId="0" xfId="1" applyNumberFormat="1" applyFont="1" applyAlignment="1">
      <alignment horizontal="right"/>
    </xf>
    <xf numFmtId="166" fontId="3" fillId="0" borderId="4" xfId="1" applyNumberFormat="1" applyFont="1" applyFill="1" applyBorder="1" applyAlignment="1">
      <alignment horizontal="center" vertical="center"/>
    </xf>
    <xf numFmtId="2" fontId="3" fillId="0" borderId="4" xfId="1" applyNumberFormat="1" applyFont="1" applyFill="1" applyBorder="1" applyAlignment="1">
      <alignment horizontal="center" vertical="center"/>
    </xf>
    <xf numFmtId="10" fontId="3" fillId="0" borderId="3" xfId="3" applyNumberFormat="1" applyFont="1" applyFill="1" applyBorder="1" applyAlignment="1">
      <alignment horizontal="center" vertical="center"/>
    </xf>
    <xf numFmtId="0" fontId="3" fillId="0" borderId="2" xfId="0" applyFont="1" applyBorder="1" applyAlignment="1">
      <alignment horizontal="center" vertical="center"/>
    </xf>
    <xf numFmtId="166" fontId="3" fillId="0" borderId="2" xfId="1" applyNumberFormat="1" applyFont="1" applyFill="1" applyBorder="1" applyAlignment="1">
      <alignment horizontal="center" vertical="center"/>
    </xf>
    <xf numFmtId="2" fontId="3" fillId="0" borderId="2" xfId="1" applyNumberFormat="1" applyFont="1" applyFill="1" applyBorder="1" applyAlignment="1">
      <alignment horizontal="center" vertical="center"/>
    </xf>
    <xf numFmtId="0" fontId="3" fillId="5" borderId="4" xfId="0" applyFont="1" applyFill="1" applyBorder="1" applyAlignment="1">
      <alignment horizontal="center" vertical="center"/>
    </xf>
    <xf numFmtId="166" fontId="3" fillId="5" borderId="4" xfId="1" applyNumberFormat="1" applyFont="1" applyFill="1" applyBorder="1" applyAlignment="1">
      <alignment horizontal="center" vertical="center"/>
    </xf>
    <xf numFmtId="2" fontId="3" fillId="5" borderId="4" xfId="1" applyNumberFormat="1" applyFont="1" applyFill="1" applyBorder="1" applyAlignment="1">
      <alignment horizontal="center" vertical="center"/>
    </xf>
    <xf numFmtId="10" fontId="3" fillId="5" borderId="3" xfId="3" applyNumberFormat="1" applyFont="1" applyFill="1" applyBorder="1" applyAlignment="1">
      <alignment horizontal="center" vertical="center"/>
    </xf>
    <xf numFmtId="164" fontId="0" fillId="0" borderId="1" xfId="1" applyFont="1" applyBorder="1"/>
    <xf numFmtId="0" fontId="2" fillId="0" borderId="1" xfId="0" applyFont="1" applyBorder="1" applyAlignment="1">
      <alignment horizontal="center" vertical="center"/>
    </xf>
    <xf numFmtId="10" fontId="0" fillId="5" borderId="1" xfId="3" applyNumberFormat="1" applyFont="1" applyFill="1" applyBorder="1" applyAlignment="1">
      <alignment horizontal="center" vertical="center"/>
    </xf>
    <xf numFmtId="10" fontId="0" fillId="0" borderId="1" xfId="3" applyNumberFormat="1" applyFont="1" applyBorder="1" applyAlignment="1">
      <alignment horizontal="center" vertical="center"/>
    </xf>
    <xf numFmtId="10" fontId="0" fillId="0" borderId="1" xfId="3" applyNumberFormat="1" applyFont="1" applyFill="1" applyBorder="1" applyAlignment="1">
      <alignment horizontal="center" vertical="center"/>
    </xf>
    <xf numFmtId="164" fontId="3" fillId="0" borderId="4" xfId="1" applyFont="1" applyBorder="1" applyAlignment="1">
      <alignment horizontal="center" vertical="center"/>
    </xf>
    <xf numFmtId="164" fontId="3" fillId="2" borderId="4" xfId="1" applyFont="1" applyFill="1" applyBorder="1" applyAlignment="1">
      <alignment horizontal="center" vertical="center"/>
    </xf>
    <xf numFmtId="164" fontId="3" fillId="0" borderId="4" xfId="1" applyFont="1" applyFill="1" applyBorder="1" applyAlignment="1">
      <alignment horizontal="center" vertical="center"/>
    </xf>
    <xf numFmtId="164" fontId="3" fillId="5" borderId="4" xfId="1" applyFont="1" applyFill="1" applyBorder="1" applyAlignment="1">
      <alignment horizontal="center" vertical="center"/>
    </xf>
    <xf numFmtId="164" fontId="3" fillId="5" borderId="4" xfId="1" applyFont="1" applyFill="1" applyBorder="1"/>
    <xf numFmtId="164" fontId="3" fillId="0" borderId="4" xfId="1" applyFont="1" applyBorder="1"/>
    <xf numFmtId="164" fontId="3" fillId="0" borderId="4" xfId="1" applyFont="1" applyFill="1" applyBorder="1"/>
    <xf numFmtId="0" fontId="0" fillId="0" borderId="0" xfId="0" applyFill="1"/>
    <xf numFmtId="0" fontId="3" fillId="0" borderId="0" xfId="0" applyFont="1" applyFill="1"/>
    <xf numFmtId="166" fontId="0" fillId="0" borderId="0" xfId="1" applyNumberFormat="1" applyFont="1" applyFill="1"/>
    <xf numFmtId="164" fontId="0" fillId="0" borderId="0" xfId="1" applyFont="1" applyFill="1"/>
    <xf numFmtId="0" fontId="5" fillId="0" borderId="0" xfId="0" applyFont="1" applyFill="1"/>
    <xf numFmtId="0" fontId="6" fillId="0" borderId="0" xfId="0" applyFont="1" applyFill="1"/>
    <xf numFmtId="10" fontId="3" fillId="0" borderId="0" xfId="0" applyNumberFormat="1" applyFont="1" applyFill="1"/>
    <xf numFmtId="166" fontId="3" fillId="0" borderId="0" xfId="1" applyNumberFormat="1" applyFont="1" applyFill="1"/>
    <xf numFmtId="167" fontId="3" fillId="0" borderId="0" xfId="1" applyNumberFormat="1" applyFont="1" applyFill="1"/>
    <xf numFmtId="164" fontId="0" fillId="0" borderId="0" xfId="0" applyNumberFormat="1"/>
    <xf numFmtId="164" fontId="0" fillId="0" borderId="0" xfId="0" applyNumberFormat="1" applyFill="1"/>
  </cellXfs>
  <cellStyles count="4">
    <cellStyle name="Comma" xfId="1" builtinId="3"/>
    <cellStyle name="Hyperlink" xfId="2" builtinId="8"/>
    <cellStyle name="Normal" xfId="0" builtinId="0"/>
    <cellStyle name="Percent" xfId="3" builtinId="5"/>
  </cellStyles>
  <dxfs count="3">
    <dxf>
      <numFmt numFmtId="166" formatCode="_-* #,##0_-;\-* #,##0_-;_-* &quot;-&quot;??_-;_-@_-"/>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E2-4D70-9E46-D0D86EE793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A661-4305-A2B6-1690969AC5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E2-4D70-9E46-D0D86EE793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A661-4305-A2B6-1690969AC5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A661-4305-A2B6-1690969AC5C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A661-4305-A2B6-1690969AC5C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3-A661-4305-A2B6-1690969AC5C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2-A661-4305-A2B6-1690969AC5C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EE2-4D70-9E46-D0D86EE79354}"/>
              </c:ext>
            </c:extLst>
          </c:dPt>
          <c:dLbls>
            <c:dLbl>
              <c:idx val="1"/>
              <c:layout>
                <c:manualLayout>
                  <c:x val="0.13582259382310463"/>
                  <c:y val="-7.95772867346774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61-4305-A2B6-1690969AC5CE}"/>
                </c:ext>
              </c:extLst>
            </c:dLbl>
            <c:dLbl>
              <c:idx val="3"/>
              <c:layout>
                <c:manualLayout>
                  <c:x val="7.5323978704885455E-2"/>
                  <c:y val="9.75966438506665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61-4305-A2B6-1690969AC5CE}"/>
                </c:ext>
              </c:extLst>
            </c:dLbl>
            <c:dLbl>
              <c:idx val="4"/>
              <c:layout>
                <c:manualLayout>
                  <c:x val="0.11386913096978493"/>
                  <c:y val="0.2228501530469311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61-4305-A2B6-1690969AC5CE}"/>
                </c:ext>
              </c:extLst>
            </c:dLbl>
            <c:dLbl>
              <c:idx val="5"/>
              <c:layout>
                <c:manualLayout>
                  <c:x val="3.7916868161092923E-2"/>
                  <c:y val="4.733517919339691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61-4305-A2B6-1690969AC5CE}"/>
                </c:ext>
              </c:extLst>
            </c:dLbl>
            <c:dLbl>
              <c:idx val="6"/>
              <c:layout>
                <c:manualLayout>
                  <c:x val="6.0318482255362939E-2"/>
                  <c:y val="0.1842281175165388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61-4305-A2B6-1690969AC5CE}"/>
                </c:ext>
              </c:extLst>
            </c:dLbl>
            <c:dLbl>
              <c:idx val="8"/>
              <c:layout>
                <c:manualLayout>
                  <c:x val="1.9985014762639648E-2"/>
                  <c:y val="9.826742680458613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EE2-4D70-9E46-D0D86EE79354}"/>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tx1">
                        <a:lumMod val="75000"/>
                        <a:lumOff val="25000"/>
                      </a:schemeClr>
                    </a:solidFill>
                    <a:latin typeface="+mn-lt"/>
                    <a:ea typeface="+mn-ea"/>
                    <a:cs typeface="+mn-cs"/>
                  </a:defRPr>
                </a:pPr>
                <a:endParaRPr lang="nl-NL"/>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'North-Italy'!$B$119:$B$127</c:f>
              <c:strCache>
                <c:ptCount val="9"/>
                <c:pt idx="0">
                  <c:v>Energy</c:v>
                </c:pt>
                <c:pt idx="1">
                  <c:v>Waste to energy</c:v>
                </c:pt>
                <c:pt idx="2">
                  <c:v>Cement</c:v>
                </c:pt>
                <c:pt idx="3">
                  <c:v>Steel</c:v>
                </c:pt>
                <c:pt idx="4">
                  <c:v>Chemicals</c:v>
                </c:pt>
                <c:pt idx="5">
                  <c:v>Glass</c:v>
                </c:pt>
                <c:pt idx="6">
                  <c:v>Lime</c:v>
                </c:pt>
                <c:pt idx="7">
                  <c:v>Refining</c:v>
                </c:pt>
                <c:pt idx="8">
                  <c:v>Paper</c:v>
                </c:pt>
              </c:strCache>
            </c:strRef>
          </c:cat>
          <c:val>
            <c:numRef>
              <c:f>'North-Italy'!$F$119:$F$127</c:f>
              <c:numCache>
                <c:formatCode>0.00%</c:formatCode>
                <c:ptCount val="9"/>
                <c:pt idx="0">
                  <c:v>0.58380993059864517</c:v>
                </c:pt>
                <c:pt idx="1">
                  <c:v>0.10075549035444428</c:v>
                </c:pt>
                <c:pt idx="2">
                  <c:v>0.12937072331179336</c:v>
                </c:pt>
                <c:pt idx="3">
                  <c:v>4.3274939762506959E-2</c:v>
                </c:pt>
                <c:pt idx="4">
                  <c:v>1.1670030886993732E-2</c:v>
                </c:pt>
                <c:pt idx="5">
                  <c:v>4.433734542332702E-2</c:v>
                </c:pt>
                <c:pt idx="6">
                  <c:v>1.8813822015707502E-2</c:v>
                </c:pt>
                <c:pt idx="7">
                  <c:v>5.5842639173999946E-2</c:v>
                </c:pt>
                <c:pt idx="8">
                  <c:v>1.2125078472581961E-2</c:v>
                </c:pt>
              </c:numCache>
            </c:numRef>
          </c:val>
          <c:extLst>
            <c:ext xmlns:c16="http://schemas.microsoft.com/office/drawing/2014/chart" uri="{C3380CC4-5D6E-409C-BE32-E72D297353CC}">
              <c16:uniqueId val="{00000000-A661-4305-A2B6-1690969AC5C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32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Leap 2021</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'North-Italy'!$B$119:$B$122</c:f>
              <c:strCache>
                <c:ptCount val="4"/>
                <c:pt idx="0">
                  <c:v>Energy</c:v>
                </c:pt>
                <c:pt idx="1">
                  <c:v>Waste to energy</c:v>
                </c:pt>
                <c:pt idx="2">
                  <c:v>Cement</c:v>
                </c:pt>
                <c:pt idx="3">
                  <c:v>Steel</c:v>
                </c:pt>
              </c:strCache>
            </c:strRef>
          </c:cat>
          <c:val>
            <c:numRef>
              <c:f>'North-Italy'!$E$119:$E$122</c:f>
              <c:numCache>
                <c:formatCode>0.00</c:formatCode>
                <c:ptCount val="4"/>
                <c:pt idx="0">
                  <c:v>28.290193745</c:v>
                </c:pt>
                <c:pt idx="1">
                  <c:v>4.8823978380718591</c:v>
                </c:pt>
                <c:pt idx="2">
                  <c:v>6.2690314699999998</c:v>
                </c:pt>
                <c:pt idx="3">
                  <c:v>2.0970119999999999</c:v>
                </c:pt>
              </c:numCache>
            </c:numRef>
          </c:val>
          <c:extLst>
            <c:ext xmlns:c16="http://schemas.microsoft.com/office/drawing/2014/chart" uri="{C3380CC4-5D6E-409C-BE32-E72D297353CC}">
              <c16:uniqueId val="{00000000-E36C-4CB8-B038-8DA7E610397B}"/>
            </c:ext>
          </c:extLst>
        </c:ser>
        <c:ser>
          <c:idx val="1"/>
          <c:order val="1"/>
          <c:tx>
            <c:v>Snam 2030</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'North-Italy'!$B$119:$B$122</c:f>
              <c:strCache>
                <c:ptCount val="4"/>
                <c:pt idx="0">
                  <c:v>Energy</c:v>
                </c:pt>
                <c:pt idx="1">
                  <c:v>Waste to energy</c:v>
                </c:pt>
                <c:pt idx="2">
                  <c:v>Cement</c:v>
                </c:pt>
                <c:pt idx="3">
                  <c:v>Steel</c:v>
                </c:pt>
              </c:strCache>
            </c:strRef>
          </c:cat>
          <c:val>
            <c:numRef>
              <c:f>'North-Italy'!$G$119:$G$122</c:f>
              <c:numCache>
                <c:formatCode>_(* #,##0.00_);_(* \(#,##0.00\);_(* "-"??_);_(@_)</c:formatCode>
                <c:ptCount val="4"/>
                <c:pt idx="0">
                  <c:v>9.7919999999999998</c:v>
                </c:pt>
                <c:pt idx="1">
                  <c:v>4.3520000000000003</c:v>
                </c:pt>
                <c:pt idx="2">
                  <c:v>1.9040000000000001</c:v>
                </c:pt>
                <c:pt idx="3">
                  <c:v>3.2639999999999998</c:v>
                </c:pt>
              </c:numCache>
            </c:numRef>
          </c:val>
          <c:extLst>
            <c:ext xmlns:c16="http://schemas.microsoft.com/office/drawing/2014/chart" uri="{C3380CC4-5D6E-409C-BE32-E72D297353CC}">
              <c16:uniqueId val="{00000001-E36C-4CB8-B038-8DA7E610397B}"/>
            </c:ext>
          </c:extLst>
        </c:ser>
        <c:ser>
          <c:idx val="2"/>
          <c:order val="2"/>
          <c:tx>
            <c:v>Snam 2040</c:v>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'North-Italy'!$B$119:$B$122</c:f>
              <c:strCache>
                <c:ptCount val="4"/>
                <c:pt idx="0">
                  <c:v>Energy</c:v>
                </c:pt>
                <c:pt idx="1">
                  <c:v>Waste to energy</c:v>
                </c:pt>
                <c:pt idx="2">
                  <c:v>Cement</c:v>
                </c:pt>
                <c:pt idx="3">
                  <c:v>Steel</c:v>
                </c:pt>
              </c:strCache>
            </c:strRef>
          </c:cat>
          <c:val>
            <c:numRef>
              <c:f>'North-Italy'!$I$119:$I$122</c:f>
              <c:numCache>
                <c:formatCode>_(* #,##0.00_);_(* \(#,##0.00\);_(* "-"??_);_(@_)</c:formatCode>
                <c:ptCount val="4"/>
                <c:pt idx="0">
                  <c:v>11.97</c:v>
                </c:pt>
                <c:pt idx="1">
                  <c:v>4.4459999999999997</c:v>
                </c:pt>
                <c:pt idx="2">
                  <c:v>2.3940000000000001</c:v>
                </c:pt>
                <c:pt idx="3">
                  <c:v>4.1040000000000001</c:v>
                </c:pt>
              </c:numCache>
            </c:numRef>
          </c:val>
          <c:extLst>
            <c:ext xmlns:c16="http://schemas.microsoft.com/office/drawing/2014/chart" uri="{C3380CC4-5D6E-409C-BE32-E72D297353CC}">
              <c16:uniqueId val="{00000002-E36C-4CB8-B038-8DA7E610397B}"/>
            </c:ext>
          </c:extLst>
        </c:ser>
        <c:dLbls>
          <c:dLblPos val="outEnd"/>
          <c:showLegendKey val="0"/>
          <c:showVal val="1"/>
          <c:showCatName val="0"/>
          <c:showSerName val="0"/>
          <c:showPercent val="0"/>
          <c:showBubbleSize val="0"/>
        </c:dLbls>
        <c:gapWidth val="219"/>
        <c:overlap val="-27"/>
        <c:axId val="2146736192"/>
        <c:axId val="2146735712"/>
      </c:barChart>
      <c:catAx>
        <c:axId val="2146736192"/>
        <c:scaling>
          <c:orientation val="minMax"/>
        </c:scaling>
        <c:delete val="0"/>
        <c:axPos val="b"/>
        <c:title>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it-IT"/>
                  <a:t>Settore industriale</a:t>
                </a:r>
              </a:p>
            </c:rich>
          </c:tx>
          <c:overlay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nl-NL"/>
          </a:p>
        </c:txPr>
        <c:crossAx val="2146735712"/>
        <c:crosses val="autoZero"/>
        <c:auto val="1"/>
        <c:lblAlgn val="ctr"/>
        <c:lblOffset val="100"/>
        <c:noMultiLvlLbl val="0"/>
      </c:catAx>
      <c:valAx>
        <c:axId val="214673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it-IT"/>
                  <a:t>Emissioni  [Mton_CO2/year]</a:t>
                </a:r>
              </a:p>
            </c:rich>
          </c:tx>
          <c:overlay val="0"/>
          <c:spPr>
            <a:noFill/>
            <a:ln>
              <a:noFill/>
            </a:ln>
            <a:effectLst/>
          </c:spPr>
          <c:txPr>
            <a:bodyPr rot="-54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nl-N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nl-NL"/>
          </a:p>
        </c:txPr>
        <c:crossAx val="214673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000" b="1" i="0" u="none" strike="noStrike" kern="1200" baseline="0">
          <a:solidFill>
            <a:sysClr val="windowText" lastClr="000000"/>
          </a:solidFill>
          <a:latin typeface="+mn-lt"/>
          <a:ea typeface="+mn-ea"/>
          <a:cs typeface="+mn-cs"/>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Dati Leap</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'North-Italy'!$B$137:$B$145</c:f>
              <c:strCache>
                <c:ptCount val="7"/>
                <c:pt idx="0">
                  <c:v>EMILIA ROMAGNA</c:v>
                </c:pt>
                <c:pt idx="1">
                  <c:v>LOMBARDIA</c:v>
                </c:pt>
                <c:pt idx="2">
                  <c:v>VENETO</c:v>
                </c:pt>
                <c:pt idx="3">
                  <c:v>FRIULI V. G.</c:v>
                </c:pt>
                <c:pt idx="4">
                  <c:v>PIEMONTE</c:v>
                </c:pt>
                <c:pt idx="5">
                  <c:v>TRENTINO ALTO ADIGE</c:v>
                </c:pt>
                <c:pt idx="6">
                  <c:v>TOTALE NORD ITALIA</c:v>
                </c:pt>
              </c:strCache>
            </c:strRef>
          </c:cat>
          <c:val>
            <c:numRef>
              <c:f>'North-Italy'!$C$137:$C$145</c:f>
              <c:numCache>
                <c:formatCode>_(* #,##0.00_);_(* \(#,##0.00\);_(* "-"??_);_(@_)</c:formatCode>
                <c:ptCount val="7"/>
                <c:pt idx="0">
                  <c:v>10.377977874999999</c:v>
                </c:pt>
                <c:pt idx="1">
                  <c:v>20.895629520144407</c:v>
                </c:pt>
                <c:pt idx="2">
                  <c:v>4.7945835184094907</c:v>
                </c:pt>
                <c:pt idx="3">
                  <c:v>2.9530978139999999</c:v>
                </c:pt>
                <c:pt idx="4">
                  <c:v>7.687785216</c:v>
                </c:pt>
                <c:pt idx="5">
                  <c:v>0.44985518251796497</c:v>
                </c:pt>
                <c:pt idx="6">
                  <c:v>48.457883743071868</c:v>
                </c:pt>
              </c:numCache>
            </c:numRef>
          </c:val>
          <c:extLst>
            <c:ext xmlns:c16="http://schemas.microsoft.com/office/drawing/2014/chart" uri="{C3380CC4-5D6E-409C-BE32-E72D297353CC}">
              <c16:uniqueId val="{00000000-AD81-4BFD-8225-A33E36F388B4}"/>
            </c:ext>
          </c:extLst>
        </c:ser>
        <c:ser>
          <c:idx val="1"/>
          <c:order val="1"/>
          <c:tx>
            <c:v>Snam 2030</c:v>
          </c:tx>
          <c:spPr>
            <a:solidFill>
              <a:schemeClr val="accent2"/>
            </a:solidFill>
            <a:ln>
              <a:noFill/>
            </a:ln>
            <a:effectLst/>
          </c:spPr>
          <c:invertIfNegative val="0"/>
          <c:dLbls>
            <c:dLbl>
              <c:idx val="3"/>
              <c:layout>
                <c:manualLayout>
                  <c:x val="-1.6152715659421898E-3"/>
                  <c:y val="-2.31370148514129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D81-4BFD-8225-A33E36F388B4}"/>
                </c:ext>
              </c:extLst>
            </c:dLbl>
            <c:dLbl>
              <c:idx val="5"/>
              <c:layout>
                <c:manualLayout>
                  <c:x val="0"/>
                  <c:y val="-3.65094842336263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81-4BFD-8225-A33E36F388B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'North-Italy'!$B$137:$B$145</c:f>
              <c:strCache>
                <c:ptCount val="7"/>
                <c:pt idx="0">
                  <c:v>EMILIA ROMAGNA</c:v>
                </c:pt>
                <c:pt idx="1">
                  <c:v>LOMBARDIA</c:v>
                </c:pt>
                <c:pt idx="2">
                  <c:v>VENETO</c:v>
                </c:pt>
                <c:pt idx="3">
                  <c:v>FRIULI V. G.</c:v>
                </c:pt>
                <c:pt idx="4">
                  <c:v>PIEMONTE</c:v>
                </c:pt>
                <c:pt idx="5">
                  <c:v>TRENTINO ALTO ADIGE</c:v>
                </c:pt>
                <c:pt idx="6">
                  <c:v>TOTALE NORD ITALIA</c:v>
                </c:pt>
              </c:strCache>
            </c:strRef>
          </c:cat>
          <c:val>
            <c:numRef>
              <c:f>'North-Italy'!$E$137:$E$145</c:f>
              <c:numCache>
                <c:formatCode>_(* #,##0.00_);_(* \(#,##0.00\);_(* "-"??_);_(@_)</c:formatCode>
                <c:ptCount val="7"/>
                <c:pt idx="0">
                  <c:v>3.6</c:v>
                </c:pt>
                <c:pt idx="1">
                  <c:v>6.4</c:v>
                </c:pt>
                <c:pt idx="2">
                  <c:v>2.7</c:v>
                </c:pt>
                <c:pt idx="3">
                  <c:v>3.2</c:v>
                </c:pt>
                <c:pt idx="4">
                  <c:v>2.8</c:v>
                </c:pt>
                <c:pt idx="5">
                  <c:v>0.1</c:v>
                </c:pt>
                <c:pt idx="6">
                  <c:v>18.799999999999997</c:v>
                </c:pt>
              </c:numCache>
            </c:numRef>
          </c:val>
          <c:extLst>
            <c:ext xmlns:c16="http://schemas.microsoft.com/office/drawing/2014/chart" uri="{C3380CC4-5D6E-409C-BE32-E72D297353CC}">
              <c16:uniqueId val="{00000001-AD81-4BFD-8225-A33E36F388B4}"/>
            </c:ext>
          </c:extLst>
        </c:ser>
        <c:ser>
          <c:idx val="2"/>
          <c:order val="2"/>
          <c:tx>
            <c:v>Snam 2040</c:v>
          </c:tx>
          <c:spPr>
            <a:solidFill>
              <a:schemeClr val="accent3"/>
            </a:solidFill>
            <a:ln>
              <a:noFill/>
            </a:ln>
            <a:effectLst/>
          </c:spPr>
          <c:invertIfNegative val="0"/>
          <c:dLbls>
            <c:dLbl>
              <c:idx val="2"/>
              <c:layout>
                <c:manualLayout>
                  <c:x val="9.6835918144928205E-3"/>
                  <c:y val="-2.67923304317098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D81-4BFD-8225-A33E36F388B4}"/>
                </c:ext>
              </c:extLst>
            </c:dLbl>
            <c:dLbl>
              <c:idx val="4"/>
              <c:layout>
                <c:manualLayout>
                  <c:x val="3.2282549070745555E-3"/>
                  <c:y val="-2.65523521699099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D81-4BFD-8225-A33E36F388B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'North-Italy'!$B$137:$B$145</c:f>
              <c:strCache>
                <c:ptCount val="7"/>
                <c:pt idx="0">
                  <c:v>EMILIA ROMAGNA</c:v>
                </c:pt>
                <c:pt idx="1">
                  <c:v>LOMBARDIA</c:v>
                </c:pt>
                <c:pt idx="2">
                  <c:v>VENETO</c:v>
                </c:pt>
                <c:pt idx="3">
                  <c:v>FRIULI V. G.</c:v>
                </c:pt>
                <c:pt idx="4">
                  <c:v>PIEMONTE</c:v>
                </c:pt>
                <c:pt idx="5">
                  <c:v>TRENTINO ALTO ADIGE</c:v>
                </c:pt>
                <c:pt idx="6">
                  <c:v>TOTALE NORD ITALIA</c:v>
                </c:pt>
              </c:strCache>
            </c:strRef>
          </c:cat>
          <c:val>
            <c:numRef>
              <c:f>'North-Italy'!$G$137:$G$145</c:f>
              <c:numCache>
                <c:formatCode>_(* #,##0.00_);_(* \(#,##0.00\);_(* "-"??_);_(@_)</c:formatCode>
                <c:ptCount val="7"/>
                <c:pt idx="0">
                  <c:v>6.4</c:v>
                </c:pt>
                <c:pt idx="1">
                  <c:v>9.5</c:v>
                </c:pt>
                <c:pt idx="2">
                  <c:v>2.7</c:v>
                </c:pt>
                <c:pt idx="3">
                  <c:v>2.2999999999999998</c:v>
                </c:pt>
                <c:pt idx="4">
                  <c:v>3.4</c:v>
                </c:pt>
                <c:pt idx="5">
                  <c:v>0.1</c:v>
                </c:pt>
                <c:pt idx="6" formatCode="_-* #,##0_-;\-* #,##0_-;_-* &quot;-&quot;??_-;_-@_-">
                  <c:v>24.400000000000002</c:v>
                </c:pt>
              </c:numCache>
            </c:numRef>
          </c:val>
          <c:extLst>
            <c:ext xmlns:c16="http://schemas.microsoft.com/office/drawing/2014/chart" uri="{C3380CC4-5D6E-409C-BE32-E72D297353CC}">
              <c16:uniqueId val="{00000003-AD81-4BFD-8225-A33E36F388B4}"/>
            </c:ext>
          </c:extLst>
        </c:ser>
        <c:dLbls>
          <c:dLblPos val="outEnd"/>
          <c:showLegendKey val="0"/>
          <c:showVal val="1"/>
          <c:showCatName val="0"/>
          <c:showSerName val="0"/>
          <c:showPercent val="0"/>
          <c:showBubbleSize val="0"/>
        </c:dLbls>
        <c:gapWidth val="219"/>
        <c:overlap val="-27"/>
        <c:axId val="2145810016"/>
        <c:axId val="2145798016"/>
      </c:barChart>
      <c:catAx>
        <c:axId val="214581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sz="1000" b="1">
                    <a:solidFill>
                      <a:sysClr val="windowText" lastClr="000000"/>
                    </a:solidFill>
                  </a:rPr>
                  <a:t>Regioni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nl-NL"/>
          </a:p>
        </c:txPr>
        <c:crossAx val="2145798016"/>
        <c:crosses val="autoZero"/>
        <c:auto val="1"/>
        <c:lblAlgn val="ctr"/>
        <c:lblOffset val="100"/>
        <c:noMultiLvlLbl val="0"/>
      </c:catAx>
      <c:valAx>
        <c:axId val="2145798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sz="1000" b="1" i="0" u="none" strike="noStrike" kern="1200" baseline="0">
                    <a:solidFill>
                      <a:sysClr val="windowText" lastClr="000000"/>
                    </a:solidFill>
                  </a:rPr>
                  <a:t>Emissioni  [Mton_CO2/year</a:t>
                </a:r>
                <a:endParaRPr lang="it-IT" sz="10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nl-NL"/>
          </a:p>
        </c:txPr>
        <c:crossAx val="214581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881990</xdr:colOff>
      <xdr:row>196</xdr:row>
      <xdr:rowOff>109105</xdr:rowOff>
    </xdr:from>
    <xdr:to>
      <xdr:col>9</xdr:col>
      <xdr:colOff>952500</xdr:colOff>
      <xdr:row>259</xdr:row>
      <xdr:rowOff>95250</xdr:rowOff>
    </xdr:to>
    <xdr:graphicFrame macro="">
      <xdr:nvGraphicFramePr>
        <xdr:cNvPr id="2" name="Grafico 1">
          <a:extLst>
            <a:ext uri="{FF2B5EF4-FFF2-40B4-BE49-F238E27FC236}">
              <a16:creationId xmlns:a16="http://schemas.microsoft.com/office/drawing/2014/main" id="{9D4F7055-D2B3-1D81-A53E-454F289AB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1131453</xdr:colOff>
      <xdr:row>133</xdr:row>
      <xdr:rowOff>25400</xdr:rowOff>
    </xdr:from>
    <xdr:to>
      <xdr:col>10</xdr:col>
      <xdr:colOff>5449453</xdr:colOff>
      <xdr:row>158</xdr:row>
      <xdr:rowOff>80818</xdr:rowOff>
    </xdr:to>
    <xdr:graphicFrame macro="">
      <xdr:nvGraphicFramePr>
        <xdr:cNvPr id="4" name="Grafico 3">
          <a:extLst>
            <a:ext uri="{FF2B5EF4-FFF2-40B4-BE49-F238E27FC236}">
              <a16:creationId xmlns:a16="http://schemas.microsoft.com/office/drawing/2014/main" id="{1D4F5B64-D3CC-B053-9022-25226FB59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2337541</xdr:colOff>
      <xdr:row>149</xdr:row>
      <xdr:rowOff>147865</xdr:rowOff>
    </xdr:from>
    <xdr:to>
      <xdr:col>7</xdr:col>
      <xdr:colOff>185551</xdr:colOff>
      <xdr:row>170</xdr:row>
      <xdr:rowOff>105147</xdr:rowOff>
    </xdr:to>
    <xdr:graphicFrame macro="">
      <xdr:nvGraphicFramePr>
        <xdr:cNvPr id="6" name="Grafico 5">
          <a:extLst>
            <a:ext uri="{FF2B5EF4-FFF2-40B4-BE49-F238E27FC236}">
              <a16:creationId xmlns:a16="http://schemas.microsoft.com/office/drawing/2014/main" id="{85A4C86C-9694-6DFB-45AA-60F9EB924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ED0B3F-F14A-4839-A523-9C7212CCF916}" name="Tabella3" displayName="Tabella3" ref="A1:K114" totalsRowShown="0">
  <autoFilter ref="A1:K114" xr:uid="{4AED0B3F-F14A-4839-A523-9C7212CCF916}">
    <filterColumn colId="2">
      <filters>
        <filter val="Cement"/>
      </filters>
    </filterColumn>
  </autoFilter>
  <sortState xmlns:xlrd2="http://schemas.microsoft.com/office/spreadsheetml/2017/richdata2" ref="A2:K114">
    <sortCondition descending="1" ref="J1:J114"/>
  </sortState>
  <tableColumns count="11">
    <tableColumn id="1" xr3:uid="{59393165-D145-4E09-A9BB-DF38BE6D2CDC}" name="Facility Name"/>
    <tableColumn id="2" xr3:uid="{F1207603-221B-4955-9649-CFC17DBABDBF}" name="Owner" dataDxfId="2"/>
    <tableColumn id="3" xr3:uid="{264AC775-FEA6-4D1D-AF04-A1321B8BF192}" name="Sector"/>
    <tableColumn id="4" xr3:uid="{EC4DB305-2591-4E01-A6A9-C8AA956C38BF}" name="Activity"/>
    <tableColumn id="5" xr3:uid="{D74D3AD4-790D-4CCF-BD91-195759A44D4E}" name="City" dataDxfId="1"/>
    <tableColumn id="11" xr3:uid="{9951990D-978D-4979-867E-460D8B3B26C5}" name="Region"/>
    <tableColumn id="6" xr3:uid="{BD300358-5234-4BA2-9A4B-2A410166A10B}" name="Production capacity"/>
    <tableColumn id="7" xr3:uid="{8F2CA2DD-99AF-4489-996B-2D2B59B323EE}" name="Production capacity u.m."/>
    <tableColumn id="8" xr3:uid="{8C83BA82-5DF9-4FCE-A663-6228D26CEF21}" name="Reference year"/>
    <tableColumn id="9" xr3:uid="{CDCCFA7B-409C-478D-BED4-18702FA1FDBE}" name="Yearly CO2 emission [kg/year]"/>
    <tableColumn id="10" xr3:uid="{19C665FD-4806-4386-BDE5-AC4446434E4C}" name="Data source and comments"/>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7E6919-AAA1-4A43-A354-0B48DD20FC7C}" name="Tabella5" displayName="Tabella5" ref="A1:J43" totalsRowShown="0">
  <autoFilter ref="A1:J43" xr:uid="{D07E6919-AAA1-4A43-A354-0B48DD20FC7C}">
    <filterColumn colId="2">
      <filters>
        <filter val="Cement"/>
      </filters>
    </filterColumn>
  </autoFilter>
  <sortState xmlns:xlrd2="http://schemas.microsoft.com/office/spreadsheetml/2017/richdata2" ref="A2:J43">
    <sortCondition ref="A2:A43"/>
  </sortState>
  <tableColumns count="10">
    <tableColumn id="1" xr3:uid="{0C671427-4344-4BF5-8773-D0361CCC3F37}" name="Facility Name"/>
    <tableColumn id="2" xr3:uid="{2BDC7636-E3E2-4848-8580-E4DE6EEC1081}" name="Owner"/>
    <tableColumn id="3" xr3:uid="{057573B8-B6C1-4397-A732-6AF2A7A54B1D}" name="Sector"/>
    <tableColumn id="4" xr3:uid="{FDD939C6-DCB5-4EE8-92F9-5AB2F3EE4DD9}" name="Activity"/>
    <tableColumn id="5" xr3:uid="{7F414C43-BEC4-4FAC-9EDA-CBC85DA6452B}" name="City"/>
    <tableColumn id="6" xr3:uid="{CE14193E-D747-404D-A995-EBE7F1224509}" name="Production capacity"/>
    <tableColumn id="7" xr3:uid="{30C8A3D9-C84A-4952-9227-C2B67104EF3C}" name="Production capacity u.m."/>
    <tableColumn id="8" xr3:uid="{270DADC9-0A19-4CE0-95C0-71ED44F4B222}" name="Reference year"/>
    <tableColumn id="9" xr3:uid="{DBA5FFFB-2F97-46C6-9965-989BF5AF9404}" name="Yearly CO2 emission [kg/year]" dataDxfId="0"/>
    <tableColumn id="10" xr3:uid="{5C7459C5-3C2E-4A68-8D89-AFD441527C4F}" name="Data source and comments"/>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aurizio.spinelli@polimi.it" TargetMode="External"/><Relationship Id="rId2" Type="http://schemas.openxmlformats.org/officeDocument/2006/relationships/hyperlink" Target="mailto:edoardo.delena@polimi.it" TargetMode="External"/><Relationship Id="rId1" Type="http://schemas.openxmlformats.org/officeDocument/2006/relationships/hyperlink" Target="mailto:chiara.artini@polimi.it"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3DDC3-4300-47D2-8749-2563D27D5A54}">
  <sheetPr codeName="Foglio1"/>
  <dimension ref="A1:C27"/>
  <sheetViews>
    <sheetView workbookViewId="0">
      <selection activeCell="M19" sqref="M19"/>
    </sheetView>
  </sheetViews>
  <sheetFormatPr defaultRowHeight="15" x14ac:dyDescent="0.25"/>
  <cols>
    <col min="1" max="1" width="18.140625" bestFit="1" customWidth="1"/>
    <col min="2" max="2" width="10.7109375" bestFit="1" customWidth="1"/>
    <col min="3" max="3" width="16" bestFit="1" customWidth="1"/>
  </cols>
  <sheetData>
    <row r="1" spans="1:3" x14ac:dyDescent="0.25">
      <c r="A1" s="18" t="s">
        <v>307</v>
      </c>
    </row>
    <row r="2" spans="1:3" x14ac:dyDescent="0.25">
      <c r="A2" t="s">
        <v>319</v>
      </c>
    </row>
    <row r="3" spans="1:3" x14ac:dyDescent="0.25">
      <c r="A3" t="s">
        <v>324</v>
      </c>
    </row>
    <row r="7" spans="1:3" x14ac:dyDescent="0.25">
      <c r="A7" s="18" t="s">
        <v>318</v>
      </c>
    </row>
    <row r="8" spans="1:3" x14ac:dyDescent="0.25">
      <c r="A8" t="s">
        <v>322</v>
      </c>
    </row>
    <row r="14" spans="1:3" x14ac:dyDescent="0.25">
      <c r="A14" s="18" t="s">
        <v>308</v>
      </c>
      <c r="B14" s="18" t="s">
        <v>309</v>
      </c>
      <c r="C14" s="18" t="s">
        <v>320</v>
      </c>
    </row>
    <row r="15" spans="1:3" ht="17.25" x14ac:dyDescent="0.25">
      <c r="A15" t="s">
        <v>310</v>
      </c>
      <c r="B15" s="19">
        <v>45168</v>
      </c>
    </row>
    <row r="16" spans="1:3" ht="17.25" x14ac:dyDescent="0.25">
      <c r="A16" t="s">
        <v>346</v>
      </c>
      <c r="B16" s="19">
        <v>45488</v>
      </c>
    </row>
    <row r="24" spans="1:2" x14ac:dyDescent="0.25">
      <c r="A24" s="18" t="s">
        <v>311</v>
      </c>
    </row>
    <row r="25" spans="1:2" x14ac:dyDescent="0.25">
      <c r="A25" t="s">
        <v>312</v>
      </c>
      <c r="B25" s="20" t="s">
        <v>313</v>
      </c>
    </row>
    <row r="26" spans="1:2" x14ac:dyDescent="0.25">
      <c r="A26" t="s">
        <v>314</v>
      </c>
      <c r="B26" s="20" t="s">
        <v>315</v>
      </c>
    </row>
    <row r="27" spans="1:2" x14ac:dyDescent="0.25">
      <c r="A27" t="s">
        <v>316</v>
      </c>
      <c r="B27" s="20" t="s">
        <v>317</v>
      </c>
    </row>
  </sheetData>
  <hyperlinks>
    <hyperlink ref="B25" r:id="rId1" xr:uid="{E1C8C26F-6B04-45C8-B04B-E363568DF263}"/>
    <hyperlink ref="B26" r:id="rId2" xr:uid="{D9735482-A38A-4C64-BF0E-3A56FDE54C13}"/>
    <hyperlink ref="B27" r:id="rId3" xr:uid="{AEBA12E7-F336-4728-9C78-11DAE72C4E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6E23A-F189-4303-98CD-129F1F1B4F86}">
  <sheetPr codeName="Foglio2"/>
  <dimension ref="A1:M145"/>
  <sheetViews>
    <sheetView tabSelected="1" zoomScale="72" zoomScaleNormal="70" workbookViewId="0">
      <selection activeCell="J15" sqref="J15"/>
    </sheetView>
  </sheetViews>
  <sheetFormatPr defaultRowHeight="15" x14ac:dyDescent="0.25"/>
  <cols>
    <col min="1" max="1" width="63.28515625" customWidth="1"/>
    <col min="2" max="2" width="43.28515625" customWidth="1"/>
    <col min="3" max="3" width="27.140625" bestFit="1" customWidth="1"/>
    <col min="4" max="4" width="47.5703125" customWidth="1"/>
    <col min="5" max="6" width="32.42578125" customWidth="1"/>
    <col min="7" max="7" width="32.42578125" bestFit="1" customWidth="1"/>
    <col min="8" max="8" width="24.85546875" customWidth="1"/>
    <col min="9" max="9" width="31" bestFit="1" customWidth="1"/>
    <col min="10" max="10" width="37.85546875" style="13" customWidth="1"/>
    <col min="11" max="11" width="157.85546875" customWidth="1"/>
  </cols>
  <sheetData>
    <row r="1" spans="1:13" x14ac:dyDescent="0.25">
      <c r="A1" t="s">
        <v>0</v>
      </c>
      <c r="B1" t="s">
        <v>1</v>
      </c>
      <c r="C1" t="s">
        <v>2</v>
      </c>
      <c r="D1" t="s">
        <v>3</v>
      </c>
      <c r="E1" t="s">
        <v>4</v>
      </c>
      <c r="F1" t="s">
        <v>411</v>
      </c>
      <c r="G1" t="s">
        <v>5</v>
      </c>
      <c r="H1" t="s">
        <v>6</v>
      </c>
      <c r="I1" t="s">
        <v>113</v>
      </c>
      <c r="J1" s="13" t="s">
        <v>7</v>
      </c>
      <c r="K1" t="s">
        <v>321</v>
      </c>
    </row>
    <row r="2" spans="1:13" hidden="1" x14ac:dyDescent="0.25">
      <c r="A2" t="s">
        <v>109</v>
      </c>
      <c r="B2" t="s">
        <v>80</v>
      </c>
      <c r="C2" t="s">
        <v>10</v>
      </c>
      <c r="D2" t="s">
        <v>11</v>
      </c>
      <c r="E2" t="s">
        <v>110</v>
      </c>
      <c r="F2" t="s">
        <v>414</v>
      </c>
      <c r="G2">
        <v>1030</v>
      </c>
      <c r="H2" t="s">
        <v>13</v>
      </c>
      <c r="I2">
        <v>2021</v>
      </c>
      <c r="J2" s="13">
        <v>1986652000</v>
      </c>
    </row>
    <row r="3" spans="1:13" hidden="1" x14ac:dyDescent="0.25">
      <c r="A3" t="s">
        <v>79</v>
      </c>
      <c r="B3" t="s">
        <v>80</v>
      </c>
      <c r="C3" t="s">
        <v>10</v>
      </c>
      <c r="D3" t="s">
        <v>11</v>
      </c>
      <c r="E3" t="s">
        <v>81</v>
      </c>
      <c r="F3" t="s">
        <v>416</v>
      </c>
      <c r="G3">
        <v>1011.3</v>
      </c>
      <c r="H3" t="s">
        <v>13</v>
      </c>
      <c r="I3">
        <v>2021</v>
      </c>
      <c r="J3" s="13">
        <v>1922386000</v>
      </c>
    </row>
    <row r="4" spans="1:13" hidden="1" x14ac:dyDescent="0.25">
      <c r="A4" t="s">
        <v>82</v>
      </c>
      <c r="B4" t="s">
        <v>82</v>
      </c>
      <c r="C4" t="s">
        <v>10</v>
      </c>
      <c r="D4" t="s">
        <v>11</v>
      </c>
      <c r="E4" t="s">
        <v>83</v>
      </c>
      <c r="F4" t="s">
        <v>414</v>
      </c>
      <c r="G4">
        <v>836</v>
      </c>
      <c r="H4" t="s">
        <v>13</v>
      </c>
      <c r="I4">
        <v>2021</v>
      </c>
      <c r="J4" s="13">
        <v>1863082488</v>
      </c>
    </row>
    <row r="5" spans="1:13" hidden="1" x14ac:dyDescent="0.25">
      <c r="A5" t="s">
        <v>64</v>
      </c>
      <c r="B5" t="s">
        <v>65</v>
      </c>
      <c r="C5" t="s">
        <v>10</v>
      </c>
      <c r="D5" t="s">
        <v>11</v>
      </c>
      <c r="E5" t="s">
        <v>66</v>
      </c>
      <c r="F5" t="s">
        <v>416</v>
      </c>
      <c r="G5">
        <v>1500</v>
      </c>
      <c r="H5" t="s">
        <v>13</v>
      </c>
      <c r="I5">
        <v>2021</v>
      </c>
      <c r="J5" s="13">
        <v>1844304902</v>
      </c>
    </row>
    <row r="6" spans="1:13" hidden="1" x14ac:dyDescent="0.25">
      <c r="A6" t="s">
        <v>53</v>
      </c>
      <c r="B6" t="s">
        <v>31</v>
      </c>
      <c r="C6" t="s">
        <v>10</v>
      </c>
      <c r="D6" t="s">
        <v>11</v>
      </c>
      <c r="E6" t="s">
        <v>54</v>
      </c>
      <c r="F6" t="s">
        <v>414</v>
      </c>
      <c r="G6">
        <v>1164</v>
      </c>
      <c r="H6" t="s">
        <v>13</v>
      </c>
      <c r="I6">
        <v>2021</v>
      </c>
      <c r="J6" s="13">
        <v>1795088000</v>
      </c>
    </row>
    <row r="7" spans="1:13" hidden="1" x14ac:dyDescent="0.25">
      <c r="A7" t="s">
        <v>30</v>
      </c>
      <c r="B7" t="s">
        <v>31</v>
      </c>
      <c r="C7" t="s">
        <v>10</v>
      </c>
      <c r="D7" t="s">
        <v>11</v>
      </c>
      <c r="E7" t="s">
        <v>327</v>
      </c>
      <c r="F7" t="s">
        <v>414</v>
      </c>
      <c r="G7">
        <v>1170</v>
      </c>
      <c r="H7" t="s">
        <v>13</v>
      </c>
      <c r="I7">
        <v>2021</v>
      </c>
      <c r="J7" s="13">
        <v>1649336000</v>
      </c>
    </row>
    <row r="8" spans="1:13" hidden="1" x14ac:dyDescent="0.25">
      <c r="A8" s="69" t="s">
        <v>94</v>
      </c>
      <c r="B8" s="69" t="s">
        <v>23</v>
      </c>
      <c r="C8" s="69" t="s">
        <v>427</v>
      </c>
      <c r="D8" s="69" t="s">
        <v>86</v>
      </c>
      <c r="E8" s="69" t="s">
        <v>95</v>
      </c>
      <c r="F8" s="69" t="s">
        <v>414</v>
      </c>
      <c r="G8" s="69" t="s">
        <v>78</v>
      </c>
      <c r="H8" s="69"/>
      <c r="I8" s="69">
        <v>2021</v>
      </c>
      <c r="J8" s="72">
        <v>1597264000</v>
      </c>
      <c r="K8" s="69"/>
    </row>
    <row r="9" spans="1:13" hidden="1" x14ac:dyDescent="0.25">
      <c r="A9" t="s">
        <v>105</v>
      </c>
      <c r="B9" t="s">
        <v>105</v>
      </c>
      <c r="C9" t="s">
        <v>10</v>
      </c>
      <c r="D9" t="s">
        <v>11</v>
      </c>
      <c r="E9" t="s">
        <v>106</v>
      </c>
      <c r="F9" t="s">
        <v>416</v>
      </c>
      <c r="G9">
        <v>771.2</v>
      </c>
      <c r="H9" t="s">
        <v>13</v>
      </c>
      <c r="I9">
        <v>2021</v>
      </c>
      <c r="J9" s="13">
        <v>1449391000</v>
      </c>
    </row>
    <row r="10" spans="1:13" hidden="1" x14ac:dyDescent="0.25">
      <c r="A10" t="s">
        <v>41</v>
      </c>
      <c r="B10" t="s">
        <v>42</v>
      </c>
      <c r="C10" t="s">
        <v>10</v>
      </c>
      <c r="D10" t="s">
        <v>11</v>
      </c>
      <c r="E10" t="s">
        <v>43</v>
      </c>
      <c r="F10" t="s">
        <v>412</v>
      </c>
      <c r="G10">
        <v>780</v>
      </c>
      <c r="H10" t="s">
        <v>13</v>
      </c>
      <c r="I10">
        <v>2021</v>
      </c>
      <c r="J10" s="13">
        <v>1269069000</v>
      </c>
    </row>
    <row r="11" spans="1:13" hidden="1" x14ac:dyDescent="0.25">
      <c r="A11" t="s">
        <v>59</v>
      </c>
      <c r="B11" t="s">
        <v>48</v>
      </c>
      <c r="C11" t="s">
        <v>10</v>
      </c>
      <c r="D11" t="s">
        <v>11</v>
      </c>
      <c r="E11" t="s">
        <v>60</v>
      </c>
      <c r="F11" t="s">
        <v>419</v>
      </c>
      <c r="G11">
        <v>790</v>
      </c>
      <c r="H11" t="s">
        <v>13</v>
      </c>
      <c r="I11">
        <v>2021</v>
      </c>
      <c r="J11" s="13">
        <v>1142591000</v>
      </c>
    </row>
    <row r="12" spans="1:13" hidden="1" x14ac:dyDescent="0.25">
      <c r="A12" t="s">
        <v>39</v>
      </c>
      <c r="B12" t="s">
        <v>35</v>
      </c>
      <c r="C12" t="s">
        <v>10</v>
      </c>
      <c r="D12" t="s">
        <v>11</v>
      </c>
      <c r="E12" t="s">
        <v>40</v>
      </c>
      <c r="F12" t="s">
        <v>412</v>
      </c>
      <c r="G12">
        <v>1177</v>
      </c>
      <c r="H12" t="s">
        <v>13</v>
      </c>
      <c r="I12">
        <v>2021</v>
      </c>
      <c r="J12" s="13">
        <v>1059582000</v>
      </c>
    </row>
    <row r="13" spans="1:13" hidden="1" x14ac:dyDescent="0.25">
      <c r="A13" t="s">
        <v>91</v>
      </c>
      <c r="B13" t="s">
        <v>92</v>
      </c>
      <c r="C13" t="s">
        <v>10</v>
      </c>
      <c r="D13" t="s">
        <v>11</v>
      </c>
      <c r="E13" t="s">
        <v>93</v>
      </c>
      <c r="F13" t="s">
        <v>418</v>
      </c>
      <c r="G13">
        <v>840</v>
      </c>
      <c r="H13" t="s">
        <v>13</v>
      </c>
      <c r="I13">
        <v>2021</v>
      </c>
      <c r="J13" s="13">
        <v>1005143315</v>
      </c>
    </row>
    <row r="14" spans="1:13" hidden="1" x14ac:dyDescent="0.25">
      <c r="A14" t="s">
        <v>70</v>
      </c>
      <c r="B14" t="s">
        <v>65</v>
      </c>
      <c r="C14" t="s">
        <v>10</v>
      </c>
      <c r="D14" t="s">
        <v>11</v>
      </c>
      <c r="E14" t="s">
        <v>71</v>
      </c>
      <c r="F14" t="s">
        <v>416</v>
      </c>
      <c r="G14">
        <v>750</v>
      </c>
      <c r="H14" t="s">
        <v>13</v>
      </c>
      <c r="I14">
        <v>2021</v>
      </c>
      <c r="J14" s="13">
        <v>944327678</v>
      </c>
    </row>
    <row r="15" spans="1:13" s="69" customFormat="1" x14ac:dyDescent="0.25">
      <c r="A15" t="s">
        <v>305</v>
      </c>
      <c r="B15" t="s">
        <v>182</v>
      </c>
      <c r="C15" t="s">
        <v>176</v>
      </c>
      <c r="D15" t="s">
        <v>177</v>
      </c>
      <c r="E15" t="s">
        <v>197</v>
      </c>
      <c r="F15" t="s">
        <v>412</v>
      </c>
      <c r="G15">
        <v>1600000</v>
      </c>
      <c r="H15" t="s">
        <v>179</v>
      </c>
      <c r="I15">
        <v>2021</v>
      </c>
      <c r="J15" s="13">
        <v>933726000</v>
      </c>
      <c r="K15"/>
      <c r="M15" s="79">
        <f>Tabella3[[#This Row],[Yearly CO2 emission '[kg/year']]]/1000/Tabella3[[#This Row],[Production capacity]]</f>
        <v>0.58357875000000003</v>
      </c>
    </row>
    <row r="16" spans="1:13" x14ac:dyDescent="0.25">
      <c r="A16" t="s">
        <v>188</v>
      </c>
      <c r="B16" t="s">
        <v>175</v>
      </c>
      <c r="C16" t="s">
        <v>176</v>
      </c>
      <c r="D16" t="s">
        <v>177</v>
      </c>
      <c r="E16" t="s">
        <v>189</v>
      </c>
      <c r="F16" t="s">
        <v>414</v>
      </c>
      <c r="G16">
        <v>1300000</v>
      </c>
      <c r="H16" t="s">
        <v>179</v>
      </c>
      <c r="I16">
        <v>2021</v>
      </c>
      <c r="J16" s="13">
        <v>918742000</v>
      </c>
    </row>
    <row r="17" spans="1:11" hidden="1" x14ac:dyDescent="0.25">
      <c r="A17" t="s">
        <v>44</v>
      </c>
      <c r="B17" t="s">
        <v>45</v>
      </c>
      <c r="C17" t="s">
        <v>10</v>
      </c>
      <c r="D17" t="s">
        <v>11</v>
      </c>
      <c r="E17" t="s">
        <v>46</v>
      </c>
      <c r="F17" t="s">
        <v>412</v>
      </c>
      <c r="G17">
        <v>395</v>
      </c>
      <c r="H17" t="s">
        <v>13</v>
      </c>
      <c r="I17">
        <v>2021</v>
      </c>
      <c r="J17" s="13">
        <v>904849000</v>
      </c>
    </row>
    <row r="18" spans="1:11" hidden="1" x14ac:dyDescent="0.25">
      <c r="A18" t="s">
        <v>97</v>
      </c>
      <c r="B18" t="s">
        <v>98</v>
      </c>
      <c r="C18" t="s">
        <v>10</v>
      </c>
      <c r="D18" t="s">
        <v>11</v>
      </c>
      <c r="E18" t="s">
        <v>99</v>
      </c>
      <c r="F18" t="s">
        <v>414</v>
      </c>
      <c r="G18">
        <v>430</v>
      </c>
      <c r="H18" t="s">
        <v>13</v>
      </c>
      <c r="I18">
        <v>2021</v>
      </c>
      <c r="J18" s="13">
        <v>899630000</v>
      </c>
    </row>
    <row r="19" spans="1:11" hidden="1" x14ac:dyDescent="0.25">
      <c r="A19" t="s">
        <v>157</v>
      </c>
      <c r="B19" t="s">
        <v>154</v>
      </c>
      <c r="C19" t="s">
        <v>116</v>
      </c>
      <c r="D19" t="s">
        <v>117</v>
      </c>
      <c r="E19" t="s">
        <v>12</v>
      </c>
      <c r="F19" t="s">
        <v>414</v>
      </c>
      <c r="G19" s="22">
        <v>730000</v>
      </c>
      <c r="H19" s="21" t="s">
        <v>179</v>
      </c>
      <c r="I19">
        <v>2022</v>
      </c>
      <c r="J19" s="14">
        <v>867256250</v>
      </c>
      <c r="K19" t="s">
        <v>298</v>
      </c>
    </row>
    <row r="20" spans="1:11" hidden="1" x14ac:dyDescent="0.25">
      <c r="A20" t="s">
        <v>27</v>
      </c>
      <c r="B20" t="s">
        <v>28</v>
      </c>
      <c r="C20" t="s">
        <v>10</v>
      </c>
      <c r="D20" t="s">
        <v>11</v>
      </c>
      <c r="E20" t="s">
        <v>29</v>
      </c>
      <c r="F20" t="s">
        <v>412</v>
      </c>
      <c r="G20">
        <v>380</v>
      </c>
      <c r="H20" t="s">
        <v>13</v>
      </c>
      <c r="I20">
        <v>2021</v>
      </c>
      <c r="J20" s="13">
        <v>854979568</v>
      </c>
    </row>
    <row r="21" spans="1:11" hidden="1" x14ac:dyDescent="0.25">
      <c r="A21" s="69" t="s">
        <v>107</v>
      </c>
      <c r="B21" s="69"/>
      <c r="C21" s="69" t="s">
        <v>427</v>
      </c>
      <c r="D21" s="69" t="s">
        <v>86</v>
      </c>
      <c r="E21" s="69" t="s">
        <v>108</v>
      </c>
      <c r="F21" s="69" t="s">
        <v>412</v>
      </c>
      <c r="G21" s="69" t="s">
        <v>78</v>
      </c>
      <c r="H21" s="69"/>
      <c r="I21" s="69">
        <v>2021</v>
      </c>
      <c r="J21" s="72">
        <v>850236000</v>
      </c>
      <c r="K21" s="69"/>
    </row>
    <row r="22" spans="1:11" x14ac:dyDescent="0.25">
      <c r="A22" t="s">
        <v>174</v>
      </c>
      <c r="B22" t="s">
        <v>175</v>
      </c>
      <c r="C22" t="s">
        <v>176</v>
      </c>
      <c r="D22" t="s">
        <v>177</v>
      </c>
      <c r="E22" t="s">
        <v>178</v>
      </c>
      <c r="F22" t="s">
        <v>414</v>
      </c>
      <c r="G22">
        <v>1500000</v>
      </c>
      <c r="H22" t="s">
        <v>179</v>
      </c>
      <c r="I22">
        <v>2021</v>
      </c>
      <c r="J22" s="13">
        <v>790120000</v>
      </c>
    </row>
    <row r="23" spans="1:11" hidden="1" x14ac:dyDescent="0.25">
      <c r="A23" t="s">
        <v>47</v>
      </c>
      <c r="B23" t="s">
        <v>48</v>
      </c>
      <c r="C23" t="s">
        <v>10</v>
      </c>
      <c r="D23" t="s">
        <v>11</v>
      </c>
      <c r="E23" t="s">
        <v>49</v>
      </c>
      <c r="F23" t="s">
        <v>418</v>
      </c>
      <c r="G23">
        <v>766</v>
      </c>
      <c r="H23" t="s">
        <v>13</v>
      </c>
      <c r="I23">
        <v>2021</v>
      </c>
      <c r="J23" s="13">
        <v>784975000</v>
      </c>
    </row>
    <row r="24" spans="1:11" hidden="1" x14ac:dyDescent="0.25">
      <c r="A24" t="s">
        <v>14</v>
      </c>
      <c r="B24" t="s">
        <v>15</v>
      </c>
      <c r="C24" t="s">
        <v>10</v>
      </c>
      <c r="D24" t="s">
        <v>11</v>
      </c>
      <c r="E24" t="s">
        <v>16</v>
      </c>
      <c r="F24" t="s">
        <v>414</v>
      </c>
      <c r="G24">
        <v>1158</v>
      </c>
      <c r="H24" t="s">
        <v>13</v>
      </c>
      <c r="I24">
        <v>2021</v>
      </c>
      <c r="J24" s="13">
        <v>686608000</v>
      </c>
    </row>
    <row r="25" spans="1:11" hidden="1" x14ac:dyDescent="0.25">
      <c r="A25" t="s">
        <v>20</v>
      </c>
      <c r="B25" t="s">
        <v>21</v>
      </c>
      <c r="C25" t="s">
        <v>10</v>
      </c>
      <c r="D25" t="s">
        <v>11</v>
      </c>
      <c r="E25" t="s">
        <v>326</v>
      </c>
      <c r="F25" t="s">
        <v>414</v>
      </c>
      <c r="G25">
        <v>800</v>
      </c>
      <c r="H25" t="s">
        <v>13</v>
      </c>
      <c r="I25">
        <v>2021</v>
      </c>
      <c r="J25" s="13">
        <v>681606754</v>
      </c>
    </row>
    <row r="26" spans="1:11" s="69" customFormat="1" hidden="1" x14ac:dyDescent="0.25">
      <c r="A26" s="69" t="s">
        <v>365</v>
      </c>
      <c r="B26" s="69" t="s">
        <v>367</v>
      </c>
      <c r="C26" s="69" t="s">
        <v>347</v>
      </c>
      <c r="D26" s="69" t="s">
        <v>368</v>
      </c>
      <c r="E26" s="69" t="s">
        <v>366</v>
      </c>
      <c r="F26" s="69" t="s">
        <v>418</v>
      </c>
      <c r="I26" s="69">
        <v>2021</v>
      </c>
      <c r="J26" s="72">
        <v>678296050</v>
      </c>
    </row>
    <row r="27" spans="1:11" hidden="1" x14ac:dyDescent="0.25">
      <c r="A27" t="s">
        <v>37</v>
      </c>
      <c r="B27" t="s">
        <v>35</v>
      </c>
      <c r="C27" t="s">
        <v>10</v>
      </c>
      <c r="D27" t="s">
        <v>11</v>
      </c>
      <c r="E27" t="s">
        <v>38</v>
      </c>
      <c r="F27" t="s">
        <v>414</v>
      </c>
      <c r="G27">
        <v>760</v>
      </c>
      <c r="H27" t="s">
        <v>13</v>
      </c>
      <c r="I27">
        <v>2021</v>
      </c>
      <c r="J27" s="13">
        <v>652194000</v>
      </c>
    </row>
    <row r="28" spans="1:11" hidden="1" x14ac:dyDescent="0.25">
      <c r="A28" t="s">
        <v>370</v>
      </c>
      <c r="B28" t="s">
        <v>369</v>
      </c>
      <c r="C28" t="s">
        <v>347</v>
      </c>
      <c r="D28" t="s">
        <v>371</v>
      </c>
      <c r="E28" t="s">
        <v>106</v>
      </c>
      <c r="F28" t="s">
        <v>416</v>
      </c>
      <c r="I28">
        <v>2021</v>
      </c>
      <c r="J28" s="13">
        <v>646922000</v>
      </c>
    </row>
    <row r="29" spans="1:11" hidden="1" x14ac:dyDescent="0.25">
      <c r="A29" t="s">
        <v>111</v>
      </c>
      <c r="B29" t="s">
        <v>111</v>
      </c>
      <c r="C29" t="s">
        <v>10</v>
      </c>
      <c r="D29" t="s">
        <v>11</v>
      </c>
      <c r="E29" t="s">
        <v>112</v>
      </c>
      <c r="F29" t="s">
        <v>414</v>
      </c>
      <c r="G29">
        <v>400</v>
      </c>
      <c r="H29" t="s">
        <v>13</v>
      </c>
      <c r="I29">
        <v>2021</v>
      </c>
      <c r="J29" s="13">
        <v>644898945</v>
      </c>
    </row>
    <row r="30" spans="1:11" hidden="1" x14ac:dyDescent="0.25">
      <c r="A30" t="s">
        <v>61</v>
      </c>
      <c r="B30" t="s">
        <v>62</v>
      </c>
      <c r="C30" t="s">
        <v>10</v>
      </c>
      <c r="D30" t="s">
        <v>11</v>
      </c>
      <c r="E30" t="s">
        <v>63</v>
      </c>
      <c r="F30" t="s">
        <v>417</v>
      </c>
      <c r="G30">
        <v>800</v>
      </c>
      <c r="H30" t="s">
        <v>13</v>
      </c>
      <c r="I30">
        <v>2021</v>
      </c>
      <c r="J30" s="13">
        <v>633240700</v>
      </c>
    </row>
    <row r="31" spans="1:11" hidden="1" x14ac:dyDescent="0.25">
      <c r="A31" t="s">
        <v>152</v>
      </c>
      <c r="B31" t="s">
        <v>153</v>
      </c>
      <c r="C31" t="s">
        <v>116</v>
      </c>
      <c r="D31" t="s">
        <v>117</v>
      </c>
      <c r="E31" t="s">
        <v>46</v>
      </c>
      <c r="F31" t="s">
        <v>412</v>
      </c>
      <c r="G31" s="22">
        <v>421000</v>
      </c>
      <c r="H31" s="21" t="s">
        <v>179</v>
      </c>
      <c r="I31">
        <v>2021</v>
      </c>
      <c r="J31" s="13">
        <v>600525753</v>
      </c>
    </row>
    <row r="32" spans="1:11" x14ac:dyDescent="0.25">
      <c r="A32" t="s">
        <v>306</v>
      </c>
      <c r="B32" t="s">
        <v>182</v>
      </c>
      <c r="C32" t="s">
        <v>176</v>
      </c>
      <c r="D32" t="s">
        <v>177</v>
      </c>
      <c r="E32" t="s">
        <v>196</v>
      </c>
      <c r="F32" t="s">
        <v>416</v>
      </c>
      <c r="G32">
        <v>1300000</v>
      </c>
      <c r="H32" t="s">
        <v>179</v>
      </c>
      <c r="I32">
        <v>2021</v>
      </c>
      <c r="J32" s="13">
        <v>587138470</v>
      </c>
    </row>
    <row r="33" spans="1:11" hidden="1" x14ac:dyDescent="0.25">
      <c r="A33" t="s">
        <v>55</v>
      </c>
      <c r="B33" t="s">
        <v>35</v>
      </c>
      <c r="C33" t="s">
        <v>10</v>
      </c>
      <c r="D33" t="s">
        <v>11</v>
      </c>
      <c r="E33" t="s">
        <v>56</v>
      </c>
      <c r="F33" t="s">
        <v>416</v>
      </c>
      <c r="G33">
        <v>841</v>
      </c>
      <c r="H33" t="s">
        <v>13</v>
      </c>
      <c r="I33">
        <v>2021</v>
      </c>
      <c r="J33" s="13">
        <v>558098000</v>
      </c>
    </row>
    <row r="34" spans="1:11" x14ac:dyDescent="0.25">
      <c r="A34" t="s">
        <v>180</v>
      </c>
      <c r="B34" t="s">
        <v>181</v>
      </c>
      <c r="C34" t="s">
        <v>176</v>
      </c>
      <c r="D34" t="s">
        <v>177</v>
      </c>
      <c r="E34" t="s">
        <v>328</v>
      </c>
      <c r="F34" t="s">
        <v>414</v>
      </c>
      <c r="G34" t="s">
        <v>78</v>
      </c>
      <c r="I34">
        <v>2021</v>
      </c>
      <c r="J34" s="13">
        <v>536971000</v>
      </c>
    </row>
    <row r="35" spans="1:11" x14ac:dyDescent="0.25">
      <c r="A35" t="s">
        <v>200</v>
      </c>
      <c r="B35" t="s">
        <v>201</v>
      </c>
      <c r="C35" t="s">
        <v>176</v>
      </c>
      <c r="E35" t="s">
        <v>202</v>
      </c>
      <c r="F35" t="s">
        <v>414</v>
      </c>
      <c r="G35" t="s">
        <v>78</v>
      </c>
      <c r="I35">
        <v>2021</v>
      </c>
      <c r="J35" s="13">
        <v>510739000</v>
      </c>
    </row>
    <row r="36" spans="1:11" x14ac:dyDescent="0.25">
      <c r="A36" t="s">
        <v>303</v>
      </c>
      <c r="B36" t="s">
        <v>182</v>
      </c>
      <c r="C36" t="s">
        <v>176</v>
      </c>
      <c r="D36" t="s">
        <v>177</v>
      </c>
      <c r="E36" t="s">
        <v>183</v>
      </c>
      <c r="F36" t="s">
        <v>419</v>
      </c>
      <c r="G36">
        <v>1000000</v>
      </c>
      <c r="H36" t="s">
        <v>179</v>
      </c>
      <c r="I36">
        <v>2021</v>
      </c>
      <c r="J36" s="13">
        <v>438034000</v>
      </c>
    </row>
    <row r="37" spans="1:11" hidden="1" x14ac:dyDescent="0.25">
      <c r="A37" s="16" t="s">
        <v>300</v>
      </c>
      <c r="B37" s="16" t="s">
        <v>301</v>
      </c>
      <c r="C37" s="15" t="s">
        <v>204</v>
      </c>
      <c r="D37" s="12"/>
      <c r="E37" s="12" t="s">
        <v>158</v>
      </c>
      <c r="F37" s="12" t="s">
        <v>414</v>
      </c>
      <c r="G37" s="23">
        <v>3850000</v>
      </c>
      <c r="H37" t="s">
        <v>179</v>
      </c>
      <c r="I37">
        <v>2021</v>
      </c>
      <c r="J37" s="22">
        <v>437890000</v>
      </c>
    </row>
    <row r="38" spans="1:11" x14ac:dyDescent="0.25">
      <c r="A38" t="s">
        <v>187</v>
      </c>
      <c r="B38" t="s">
        <v>185</v>
      </c>
      <c r="C38" t="s">
        <v>176</v>
      </c>
      <c r="D38" t="s">
        <v>177</v>
      </c>
      <c r="E38" t="s">
        <v>56</v>
      </c>
      <c r="F38" t="s">
        <v>416</v>
      </c>
      <c r="G38">
        <v>1000000</v>
      </c>
      <c r="I38">
        <v>2021</v>
      </c>
      <c r="J38" s="13">
        <v>405887000</v>
      </c>
    </row>
    <row r="39" spans="1:11" hidden="1" x14ac:dyDescent="0.25">
      <c r="A39" t="s">
        <v>213</v>
      </c>
      <c r="B39" t="s">
        <v>214</v>
      </c>
      <c r="C39" t="s">
        <v>204</v>
      </c>
      <c r="D39" t="s">
        <v>205</v>
      </c>
      <c r="E39" t="s">
        <v>148</v>
      </c>
      <c r="F39" t="s">
        <v>414</v>
      </c>
      <c r="G39" s="22">
        <v>700000</v>
      </c>
      <c r="H39" t="s">
        <v>179</v>
      </c>
      <c r="I39">
        <v>2021</v>
      </c>
      <c r="J39" s="22">
        <v>405329200</v>
      </c>
    </row>
    <row r="40" spans="1:11" hidden="1" x14ac:dyDescent="0.25">
      <c r="A40" t="s">
        <v>34</v>
      </c>
      <c r="B40" t="s">
        <v>35</v>
      </c>
      <c r="C40" t="s">
        <v>10</v>
      </c>
      <c r="D40" t="s">
        <v>11</v>
      </c>
      <c r="E40" t="s">
        <v>36</v>
      </c>
      <c r="F40" t="s">
        <v>414</v>
      </c>
      <c r="G40">
        <v>380</v>
      </c>
      <c r="H40" t="s">
        <v>13</v>
      </c>
      <c r="I40">
        <v>2021</v>
      </c>
      <c r="J40" s="13">
        <v>381963300</v>
      </c>
    </row>
    <row r="41" spans="1:11" x14ac:dyDescent="0.25">
      <c r="A41" t="s">
        <v>184</v>
      </c>
      <c r="B41" t="s">
        <v>185</v>
      </c>
      <c r="C41" t="s">
        <v>176</v>
      </c>
      <c r="D41" t="s">
        <v>177</v>
      </c>
      <c r="E41" t="s">
        <v>186</v>
      </c>
      <c r="F41" t="s">
        <v>418</v>
      </c>
      <c r="G41">
        <v>1000000</v>
      </c>
      <c r="I41">
        <v>2021</v>
      </c>
      <c r="J41" s="13">
        <v>351766000</v>
      </c>
    </row>
    <row r="42" spans="1:11" x14ac:dyDescent="0.25">
      <c r="A42" t="s">
        <v>304</v>
      </c>
      <c r="B42" t="s">
        <v>182</v>
      </c>
      <c r="C42" t="s">
        <v>176</v>
      </c>
      <c r="D42" t="s">
        <v>198</v>
      </c>
      <c r="E42" t="s">
        <v>199</v>
      </c>
      <c r="F42" t="s">
        <v>418</v>
      </c>
      <c r="G42">
        <v>800000</v>
      </c>
      <c r="H42" t="s">
        <v>179</v>
      </c>
      <c r="I42">
        <v>2021</v>
      </c>
      <c r="J42" s="13">
        <v>342306000</v>
      </c>
    </row>
    <row r="43" spans="1:11" hidden="1" x14ac:dyDescent="0.25">
      <c r="A43" t="s">
        <v>135</v>
      </c>
      <c r="B43" t="s">
        <v>136</v>
      </c>
      <c r="C43" t="s">
        <v>116</v>
      </c>
      <c r="D43" t="s">
        <v>117</v>
      </c>
      <c r="E43" t="s">
        <v>137</v>
      </c>
      <c r="F43" t="s">
        <v>416</v>
      </c>
      <c r="G43" s="22">
        <v>380000</v>
      </c>
      <c r="H43" t="s">
        <v>179</v>
      </c>
      <c r="I43">
        <v>2021</v>
      </c>
      <c r="J43" s="13">
        <v>338516000</v>
      </c>
    </row>
    <row r="44" spans="1:11" hidden="1" x14ac:dyDescent="0.25">
      <c r="A44" t="s">
        <v>337</v>
      </c>
      <c r="B44" t="s">
        <v>154</v>
      </c>
      <c r="C44" t="s">
        <v>116</v>
      </c>
      <c r="D44" t="s">
        <v>117</v>
      </c>
      <c r="E44" t="s">
        <v>155</v>
      </c>
      <c r="F44" t="s">
        <v>414</v>
      </c>
      <c r="G44" s="22">
        <v>540000</v>
      </c>
      <c r="H44" s="21" t="s">
        <v>179</v>
      </c>
      <c r="I44">
        <v>2021</v>
      </c>
      <c r="J44" s="13">
        <v>323606842</v>
      </c>
    </row>
    <row r="45" spans="1:11" hidden="1" x14ac:dyDescent="0.25">
      <c r="A45" t="s">
        <v>96</v>
      </c>
      <c r="B45" t="s">
        <v>23</v>
      </c>
      <c r="C45" t="s">
        <v>10</v>
      </c>
      <c r="D45" t="s">
        <v>86</v>
      </c>
      <c r="E45" t="s">
        <v>49</v>
      </c>
      <c r="F45" t="s">
        <v>418</v>
      </c>
      <c r="G45" t="s">
        <v>78</v>
      </c>
      <c r="I45">
        <v>2021</v>
      </c>
      <c r="J45" s="13">
        <v>269839000</v>
      </c>
    </row>
    <row r="46" spans="1:11" hidden="1" x14ac:dyDescent="0.25">
      <c r="A46" s="69" t="s">
        <v>84</v>
      </c>
      <c r="B46" s="69" t="s">
        <v>85</v>
      </c>
      <c r="C46" s="69" t="s">
        <v>427</v>
      </c>
      <c r="D46" s="69" t="s">
        <v>86</v>
      </c>
      <c r="E46" s="69" t="s">
        <v>87</v>
      </c>
      <c r="F46" s="69" t="s">
        <v>417</v>
      </c>
      <c r="G46" s="69" t="s">
        <v>78</v>
      </c>
      <c r="H46" s="69"/>
      <c r="I46" s="69">
        <v>2021</v>
      </c>
      <c r="J46" s="72">
        <v>258516117</v>
      </c>
      <c r="K46" s="69"/>
    </row>
    <row r="47" spans="1:11" hidden="1" x14ac:dyDescent="0.25">
      <c r="A47" t="s">
        <v>207</v>
      </c>
      <c r="B47" t="s">
        <v>208</v>
      </c>
      <c r="C47" t="s">
        <v>204</v>
      </c>
      <c r="D47" t="s">
        <v>205</v>
      </c>
      <c r="E47" t="s">
        <v>209</v>
      </c>
      <c r="F47" t="s">
        <v>419</v>
      </c>
      <c r="G47" s="22">
        <v>1100000</v>
      </c>
      <c r="H47" t="s">
        <v>179</v>
      </c>
      <c r="I47">
        <v>2021</v>
      </c>
      <c r="J47">
        <v>255736000</v>
      </c>
    </row>
    <row r="48" spans="1:11" hidden="1" x14ac:dyDescent="0.25">
      <c r="A48" t="s">
        <v>102</v>
      </c>
      <c r="B48" t="s">
        <v>103</v>
      </c>
      <c r="C48" t="s">
        <v>10</v>
      </c>
      <c r="D48" t="s">
        <v>11</v>
      </c>
      <c r="E48" t="s">
        <v>104</v>
      </c>
      <c r="F48" t="s">
        <v>412</v>
      </c>
      <c r="G48">
        <v>100</v>
      </c>
      <c r="H48" t="s">
        <v>13</v>
      </c>
      <c r="I48">
        <v>2021</v>
      </c>
      <c r="J48" s="13">
        <v>251604895</v>
      </c>
    </row>
    <row r="49" spans="1:11" hidden="1" x14ac:dyDescent="0.25">
      <c r="A49" t="s">
        <v>394</v>
      </c>
      <c r="B49" t="s">
        <v>380</v>
      </c>
      <c r="C49" t="s">
        <v>383</v>
      </c>
      <c r="D49" t="s">
        <v>384</v>
      </c>
      <c r="E49" t="s">
        <v>362</v>
      </c>
      <c r="F49" t="s">
        <v>414</v>
      </c>
      <c r="I49">
        <v>2021</v>
      </c>
      <c r="J49" s="13">
        <v>244453000</v>
      </c>
    </row>
    <row r="50" spans="1:11" hidden="1" x14ac:dyDescent="0.25">
      <c r="A50" t="s">
        <v>149</v>
      </c>
      <c r="B50" t="s">
        <v>150</v>
      </c>
      <c r="C50" t="s">
        <v>116</v>
      </c>
      <c r="D50" t="s">
        <v>117</v>
      </c>
      <c r="E50" t="s">
        <v>151</v>
      </c>
      <c r="F50" t="s">
        <v>414</v>
      </c>
      <c r="G50" s="22">
        <v>174900</v>
      </c>
      <c r="H50" s="21" t="s">
        <v>179</v>
      </c>
      <c r="I50">
        <v>2021</v>
      </c>
      <c r="J50" s="13">
        <v>223853000</v>
      </c>
    </row>
    <row r="51" spans="1:11" hidden="1" x14ac:dyDescent="0.25">
      <c r="A51" t="s">
        <v>88</v>
      </c>
      <c r="B51" t="s">
        <v>89</v>
      </c>
      <c r="C51" t="s">
        <v>10</v>
      </c>
      <c r="D51" t="s">
        <v>11</v>
      </c>
      <c r="E51" t="s">
        <v>90</v>
      </c>
      <c r="F51" t="s">
        <v>412</v>
      </c>
      <c r="G51">
        <v>140</v>
      </c>
      <c r="H51" t="s">
        <v>13</v>
      </c>
      <c r="I51">
        <v>2021</v>
      </c>
      <c r="J51" s="13">
        <v>219215000</v>
      </c>
    </row>
    <row r="52" spans="1:11" hidden="1" x14ac:dyDescent="0.25">
      <c r="A52" s="69" t="s">
        <v>335</v>
      </c>
      <c r="B52" s="69"/>
      <c r="C52" s="69" t="s">
        <v>10</v>
      </c>
      <c r="D52" s="70" t="s">
        <v>11</v>
      </c>
      <c r="E52" s="69" t="s">
        <v>336</v>
      </c>
      <c r="F52" s="69" t="s">
        <v>412</v>
      </c>
      <c r="G52" s="71">
        <v>50</v>
      </c>
      <c r="H52" s="69" t="s">
        <v>13</v>
      </c>
      <c r="I52" s="69">
        <v>2021</v>
      </c>
      <c r="J52" s="72">
        <v>206536000</v>
      </c>
      <c r="K52" s="69"/>
    </row>
    <row r="53" spans="1:11" hidden="1" x14ac:dyDescent="0.25">
      <c r="A53" t="s">
        <v>348</v>
      </c>
      <c r="B53" t="s">
        <v>349</v>
      </c>
      <c r="C53" t="s">
        <v>347</v>
      </c>
      <c r="D53" t="s">
        <v>350</v>
      </c>
      <c r="E53" t="s">
        <v>81</v>
      </c>
      <c r="F53" t="s">
        <v>416</v>
      </c>
      <c r="I53">
        <v>2021</v>
      </c>
      <c r="J53" s="13">
        <v>204097000</v>
      </c>
    </row>
    <row r="54" spans="1:11" hidden="1" x14ac:dyDescent="0.25">
      <c r="A54" t="s">
        <v>397</v>
      </c>
      <c r="B54" t="s">
        <v>398</v>
      </c>
      <c r="C54" t="s">
        <v>383</v>
      </c>
      <c r="D54" t="s">
        <v>399</v>
      </c>
      <c r="E54" t="s">
        <v>12</v>
      </c>
      <c r="F54" t="s">
        <v>414</v>
      </c>
      <c r="I54">
        <v>2021</v>
      </c>
      <c r="J54" s="13">
        <v>203184000</v>
      </c>
    </row>
    <row r="55" spans="1:11" hidden="1" x14ac:dyDescent="0.25">
      <c r="A55" t="s">
        <v>171</v>
      </c>
      <c r="B55" t="s">
        <v>172</v>
      </c>
      <c r="C55" t="s">
        <v>116</v>
      </c>
      <c r="D55" t="s">
        <v>117</v>
      </c>
      <c r="E55" t="s">
        <v>173</v>
      </c>
      <c r="F55" t="s">
        <v>418</v>
      </c>
      <c r="G55" s="22">
        <v>180000</v>
      </c>
      <c r="H55" s="21" t="s">
        <v>179</v>
      </c>
      <c r="I55" t="s">
        <v>156</v>
      </c>
      <c r="J55" s="14">
        <v>200899360.40948996</v>
      </c>
      <c r="K55" t="s">
        <v>299</v>
      </c>
    </row>
    <row r="56" spans="1:11" hidden="1" x14ac:dyDescent="0.25">
      <c r="A56" t="s">
        <v>210</v>
      </c>
      <c r="B56" t="s">
        <v>211</v>
      </c>
      <c r="C56" t="s">
        <v>204</v>
      </c>
      <c r="D56" t="s">
        <v>205</v>
      </c>
      <c r="E56" t="s">
        <v>212</v>
      </c>
      <c r="F56" t="s">
        <v>419</v>
      </c>
      <c r="G56" s="22">
        <v>2200000</v>
      </c>
      <c r="H56" t="s">
        <v>179</v>
      </c>
      <c r="I56">
        <v>2021</v>
      </c>
      <c r="J56">
        <v>200326000</v>
      </c>
    </row>
    <row r="57" spans="1:11" x14ac:dyDescent="0.25">
      <c r="A57" t="s">
        <v>190</v>
      </c>
      <c r="B57" t="s">
        <v>191</v>
      </c>
      <c r="C57" t="s">
        <v>176</v>
      </c>
      <c r="D57" t="s">
        <v>177</v>
      </c>
      <c r="E57" t="s">
        <v>192</v>
      </c>
      <c r="F57" t="s">
        <v>418</v>
      </c>
      <c r="G57" t="s">
        <v>78</v>
      </c>
      <c r="I57">
        <v>2021</v>
      </c>
      <c r="J57" s="13">
        <v>197108000</v>
      </c>
    </row>
    <row r="58" spans="1:11" hidden="1" x14ac:dyDescent="0.25">
      <c r="A58" t="s">
        <v>402</v>
      </c>
      <c r="B58" t="s">
        <v>403</v>
      </c>
      <c r="C58" t="s">
        <v>383</v>
      </c>
      <c r="D58" t="s">
        <v>384</v>
      </c>
      <c r="E58" t="s">
        <v>404</v>
      </c>
      <c r="F58" t="s">
        <v>418</v>
      </c>
      <c r="I58">
        <v>2021</v>
      </c>
      <c r="J58" s="13">
        <v>197108000</v>
      </c>
    </row>
    <row r="59" spans="1:11" hidden="1" x14ac:dyDescent="0.25">
      <c r="A59" t="s">
        <v>67</v>
      </c>
      <c r="B59" t="s">
        <v>68</v>
      </c>
      <c r="C59" t="s">
        <v>10</v>
      </c>
      <c r="D59" t="s">
        <v>11</v>
      </c>
      <c r="E59" t="s">
        <v>69</v>
      </c>
      <c r="F59" t="s">
        <v>417</v>
      </c>
      <c r="G59">
        <v>1282</v>
      </c>
      <c r="H59" t="s">
        <v>13</v>
      </c>
      <c r="I59">
        <v>2021</v>
      </c>
      <c r="J59" s="13">
        <v>195192000</v>
      </c>
    </row>
    <row r="60" spans="1:11" hidden="1" x14ac:dyDescent="0.25">
      <c r="A60" s="69" t="s">
        <v>146</v>
      </c>
      <c r="B60" s="69" t="s">
        <v>147</v>
      </c>
      <c r="C60" s="69" t="s">
        <v>116</v>
      </c>
      <c r="D60" s="69" t="s">
        <v>117</v>
      </c>
      <c r="E60" s="69" t="s">
        <v>148</v>
      </c>
      <c r="F60" s="69" t="s">
        <v>414</v>
      </c>
      <c r="G60" s="71">
        <v>150000</v>
      </c>
      <c r="H60" s="73" t="s">
        <v>179</v>
      </c>
      <c r="I60" s="69">
        <v>2021</v>
      </c>
      <c r="J60" s="72">
        <v>190599884</v>
      </c>
      <c r="K60" s="69"/>
    </row>
    <row r="61" spans="1:11" hidden="1" x14ac:dyDescent="0.25">
      <c r="A61" t="s">
        <v>377</v>
      </c>
      <c r="B61" t="s">
        <v>378</v>
      </c>
      <c r="C61" t="s">
        <v>358</v>
      </c>
      <c r="D61" t="s">
        <v>359</v>
      </c>
      <c r="E61" t="s">
        <v>420</v>
      </c>
      <c r="F61" t="s">
        <v>419</v>
      </c>
      <c r="I61">
        <v>2021</v>
      </c>
      <c r="J61" s="13">
        <v>188732333</v>
      </c>
    </row>
    <row r="62" spans="1:11" s="69" customFormat="1" hidden="1" x14ac:dyDescent="0.25">
      <c r="A62" t="s">
        <v>129</v>
      </c>
      <c r="B62" t="s">
        <v>130</v>
      </c>
      <c r="C62" t="s">
        <v>116</v>
      </c>
      <c r="D62" t="s">
        <v>117</v>
      </c>
      <c r="E62" t="s">
        <v>131</v>
      </c>
      <c r="F62" t="s">
        <v>416</v>
      </c>
      <c r="G62" s="22">
        <v>222000</v>
      </c>
      <c r="H62" t="s">
        <v>179</v>
      </c>
      <c r="I62">
        <v>2021</v>
      </c>
      <c r="J62" s="13">
        <v>186972000</v>
      </c>
      <c r="K62"/>
    </row>
    <row r="63" spans="1:11" hidden="1" x14ac:dyDescent="0.25">
      <c r="A63" t="s">
        <v>127</v>
      </c>
      <c r="B63" t="s">
        <v>119</v>
      </c>
      <c r="C63" t="s">
        <v>116</v>
      </c>
      <c r="D63" t="s">
        <v>117</v>
      </c>
      <c r="E63" t="s">
        <v>128</v>
      </c>
      <c r="F63" t="s">
        <v>416</v>
      </c>
      <c r="G63" s="22">
        <v>203125</v>
      </c>
      <c r="H63" t="s">
        <v>179</v>
      </c>
      <c r="I63">
        <v>2021</v>
      </c>
      <c r="J63" s="13">
        <v>186706873</v>
      </c>
    </row>
    <row r="64" spans="1:11" hidden="1" x14ac:dyDescent="0.25">
      <c r="A64" t="s">
        <v>364</v>
      </c>
      <c r="B64" t="s">
        <v>367</v>
      </c>
      <c r="C64" t="s">
        <v>347</v>
      </c>
      <c r="E64" t="s">
        <v>83</v>
      </c>
      <c r="F64" t="s">
        <v>414</v>
      </c>
      <c r="I64">
        <v>2021</v>
      </c>
      <c r="J64" s="13">
        <v>185024880</v>
      </c>
    </row>
    <row r="65" spans="1:11" hidden="1" x14ac:dyDescent="0.25">
      <c r="A65" t="s">
        <v>100</v>
      </c>
      <c r="B65" t="s">
        <v>98</v>
      </c>
      <c r="C65" t="s">
        <v>10</v>
      </c>
      <c r="D65" t="s">
        <v>11</v>
      </c>
      <c r="E65" t="s">
        <v>101</v>
      </c>
      <c r="F65" t="s">
        <v>416</v>
      </c>
      <c r="G65">
        <v>63</v>
      </c>
      <c r="H65" t="s">
        <v>13</v>
      </c>
      <c r="I65">
        <v>2021</v>
      </c>
      <c r="J65" s="13">
        <v>183193000</v>
      </c>
    </row>
    <row r="66" spans="1:11" hidden="1" x14ac:dyDescent="0.25">
      <c r="A66" t="s">
        <v>141</v>
      </c>
      <c r="B66" t="s">
        <v>142</v>
      </c>
      <c r="C66" t="s">
        <v>116</v>
      </c>
      <c r="D66" t="s">
        <v>117</v>
      </c>
      <c r="E66" t="s">
        <v>143</v>
      </c>
      <c r="F66" t="s">
        <v>418</v>
      </c>
      <c r="G66" s="22">
        <v>600</v>
      </c>
      <c r="H66" t="s">
        <v>302</v>
      </c>
      <c r="I66">
        <v>2021</v>
      </c>
      <c r="J66" s="13">
        <v>179315793</v>
      </c>
    </row>
    <row r="67" spans="1:11" hidden="1" x14ac:dyDescent="0.25">
      <c r="A67" t="s">
        <v>363</v>
      </c>
      <c r="B67" t="s">
        <v>361</v>
      </c>
      <c r="C67" t="s">
        <v>347</v>
      </c>
      <c r="D67" t="s">
        <v>355</v>
      </c>
      <c r="E67" t="s">
        <v>362</v>
      </c>
      <c r="F67" t="s">
        <v>414</v>
      </c>
      <c r="I67">
        <v>2021</v>
      </c>
      <c r="J67" s="13">
        <v>177397000</v>
      </c>
    </row>
    <row r="68" spans="1:11" hidden="1" x14ac:dyDescent="0.25">
      <c r="A68" t="s">
        <v>72</v>
      </c>
      <c r="B68" t="s">
        <v>73</v>
      </c>
      <c r="C68" t="s">
        <v>10</v>
      </c>
      <c r="D68" t="s">
        <v>11</v>
      </c>
      <c r="E68" t="s">
        <v>74</v>
      </c>
      <c r="F68" t="s">
        <v>419</v>
      </c>
      <c r="G68">
        <v>50</v>
      </c>
      <c r="H68" t="s">
        <v>13</v>
      </c>
      <c r="I68">
        <v>2021</v>
      </c>
      <c r="J68" s="13">
        <v>176990000</v>
      </c>
    </row>
    <row r="69" spans="1:11" hidden="1" x14ac:dyDescent="0.25">
      <c r="A69" t="s">
        <v>17</v>
      </c>
      <c r="B69" t="s">
        <v>18</v>
      </c>
      <c r="C69" t="s">
        <v>10</v>
      </c>
      <c r="D69" t="s">
        <v>11</v>
      </c>
      <c r="E69" t="s">
        <v>19</v>
      </c>
      <c r="F69" t="s">
        <v>415</v>
      </c>
      <c r="G69">
        <v>55</v>
      </c>
      <c r="H69" t="s">
        <v>13</v>
      </c>
      <c r="I69">
        <v>2021</v>
      </c>
      <c r="J69" s="13">
        <v>176535200</v>
      </c>
    </row>
    <row r="70" spans="1:11" hidden="1" x14ac:dyDescent="0.25">
      <c r="A70" t="s">
        <v>124</v>
      </c>
      <c r="B70" t="s">
        <v>115</v>
      </c>
      <c r="C70" t="s">
        <v>116</v>
      </c>
      <c r="D70" t="s">
        <v>125</v>
      </c>
      <c r="E70" t="s">
        <v>126</v>
      </c>
      <c r="F70" t="s">
        <v>416</v>
      </c>
      <c r="G70" s="22">
        <v>195000</v>
      </c>
      <c r="H70" t="s">
        <v>179</v>
      </c>
      <c r="I70">
        <v>2021</v>
      </c>
      <c r="J70" s="13">
        <v>166966760</v>
      </c>
    </row>
    <row r="71" spans="1:11" hidden="1" x14ac:dyDescent="0.25">
      <c r="A71" t="s">
        <v>75</v>
      </c>
      <c r="B71" t="s">
        <v>75</v>
      </c>
      <c r="C71" t="s">
        <v>10</v>
      </c>
      <c r="D71" t="s">
        <v>76</v>
      </c>
      <c r="E71" t="s">
        <v>77</v>
      </c>
      <c r="F71" t="s">
        <v>412</v>
      </c>
      <c r="G71" t="s">
        <v>78</v>
      </c>
      <c r="I71">
        <v>2021</v>
      </c>
      <c r="J71" s="13">
        <v>158809000</v>
      </c>
    </row>
    <row r="72" spans="1:11" hidden="1" x14ac:dyDescent="0.25">
      <c r="A72" t="s">
        <v>144</v>
      </c>
      <c r="B72" t="s">
        <v>142</v>
      </c>
      <c r="C72" t="s">
        <v>116</v>
      </c>
      <c r="D72" t="s">
        <v>117</v>
      </c>
      <c r="E72" t="s">
        <v>145</v>
      </c>
      <c r="F72" t="s">
        <v>419</v>
      </c>
      <c r="G72" s="22">
        <v>612</v>
      </c>
      <c r="H72" t="s">
        <v>302</v>
      </c>
      <c r="I72">
        <v>2021</v>
      </c>
      <c r="J72" s="13">
        <v>157981171</v>
      </c>
    </row>
    <row r="73" spans="1:11" hidden="1" x14ac:dyDescent="0.25">
      <c r="A73" t="s">
        <v>168</v>
      </c>
      <c r="B73" t="s">
        <v>169</v>
      </c>
      <c r="C73" t="s">
        <v>116</v>
      </c>
      <c r="D73" t="s">
        <v>117</v>
      </c>
      <c r="E73" t="s">
        <v>170</v>
      </c>
      <c r="F73" t="s">
        <v>415</v>
      </c>
      <c r="G73" s="22">
        <v>130000</v>
      </c>
      <c r="H73" s="21" t="s">
        <v>179</v>
      </c>
      <c r="I73" t="s">
        <v>156</v>
      </c>
      <c r="J73" s="14">
        <v>145093982.51796496</v>
      </c>
      <c r="K73" t="s">
        <v>299</v>
      </c>
    </row>
    <row r="74" spans="1:11" hidden="1" x14ac:dyDescent="0.25">
      <c r="A74" s="70" t="s">
        <v>329</v>
      </c>
      <c r="B74" s="74" t="s">
        <v>330</v>
      </c>
      <c r="C74" s="75" t="s">
        <v>204</v>
      </c>
      <c r="D74" s="70"/>
      <c r="E74" s="70" t="s">
        <v>12</v>
      </c>
      <c r="F74" s="69" t="s">
        <v>414</v>
      </c>
      <c r="G74" s="76">
        <v>1700000</v>
      </c>
      <c r="H74" s="69" t="s">
        <v>179</v>
      </c>
      <c r="I74" s="70">
        <v>2021</v>
      </c>
      <c r="J74" s="77">
        <v>144339000</v>
      </c>
      <c r="K74" s="69"/>
    </row>
    <row r="75" spans="1:11" s="69" customFormat="1" hidden="1" x14ac:dyDescent="0.25">
      <c r="A75" t="s">
        <v>122</v>
      </c>
      <c r="B75" t="s">
        <v>119</v>
      </c>
      <c r="C75" t="s">
        <v>116</v>
      </c>
      <c r="D75" t="s">
        <v>117</v>
      </c>
      <c r="E75" t="s">
        <v>123</v>
      </c>
      <c r="F75" t="s">
        <v>416</v>
      </c>
      <c r="G75" s="22">
        <v>120000</v>
      </c>
      <c r="H75" t="s">
        <v>179</v>
      </c>
      <c r="I75">
        <v>2021</v>
      </c>
      <c r="J75" s="13">
        <v>144055000</v>
      </c>
      <c r="K75"/>
    </row>
    <row r="76" spans="1:11" s="69" customFormat="1" hidden="1" x14ac:dyDescent="0.25">
      <c r="A76" t="s">
        <v>381</v>
      </c>
      <c r="B76" t="s">
        <v>380</v>
      </c>
      <c r="C76" t="s">
        <v>383</v>
      </c>
      <c r="D76" t="s">
        <v>384</v>
      </c>
      <c r="E76" t="s">
        <v>382</v>
      </c>
      <c r="F76" t="s">
        <v>414</v>
      </c>
      <c r="G76"/>
      <c r="H76"/>
      <c r="I76">
        <v>2021</v>
      </c>
      <c r="J76" s="13">
        <v>139988000</v>
      </c>
      <c r="K76"/>
    </row>
    <row r="77" spans="1:11" s="69" customFormat="1" hidden="1" x14ac:dyDescent="0.25">
      <c r="A77" t="s">
        <v>374</v>
      </c>
      <c r="B77" t="s">
        <v>375</v>
      </c>
      <c r="C77" t="s">
        <v>358</v>
      </c>
      <c r="D77" t="s">
        <v>359</v>
      </c>
      <c r="E77" t="s">
        <v>376</v>
      </c>
      <c r="F77" t="s">
        <v>419</v>
      </c>
      <c r="G77"/>
      <c r="H77"/>
      <c r="I77">
        <v>2021</v>
      </c>
      <c r="J77" s="13">
        <v>139166310</v>
      </c>
      <c r="K77"/>
    </row>
    <row r="78" spans="1:11" hidden="1" x14ac:dyDescent="0.25">
      <c r="A78" t="s">
        <v>372</v>
      </c>
      <c r="B78" t="s">
        <v>357</v>
      </c>
      <c r="C78" t="s">
        <v>358</v>
      </c>
      <c r="D78" t="s">
        <v>359</v>
      </c>
      <c r="E78" t="s">
        <v>83</v>
      </c>
      <c r="F78" t="s">
        <v>414</v>
      </c>
      <c r="I78">
        <v>2021</v>
      </c>
      <c r="J78" s="13">
        <v>131431000</v>
      </c>
      <c r="K78" t="s">
        <v>373</v>
      </c>
    </row>
    <row r="79" spans="1:11" hidden="1" x14ac:dyDescent="0.25">
      <c r="A79" t="s">
        <v>50</v>
      </c>
      <c r="B79" t="s">
        <v>51</v>
      </c>
      <c r="C79" t="s">
        <v>10</v>
      </c>
      <c r="D79" t="s">
        <v>11</v>
      </c>
      <c r="E79" t="s">
        <v>52</v>
      </c>
      <c r="F79" t="s">
        <v>419</v>
      </c>
      <c r="G79">
        <v>336</v>
      </c>
      <c r="H79" t="s">
        <v>13</v>
      </c>
      <c r="I79">
        <v>2021</v>
      </c>
      <c r="J79" s="13">
        <v>130694000</v>
      </c>
    </row>
    <row r="80" spans="1:11" hidden="1" x14ac:dyDescent="0.25">
      <c r="A80" t="s">
        <v>351</v>
      </c>
      <c r="B80" t="s">
        <v>352</v>
      </c>
      <c r="C80" t="s">
        <v>347</v>
      </c>
      <c r="D80" t="s">
        <v>353</v>
      </c>
      <c r="E80" t="s">
        <v>104</v>
      </c>
      <c r="F80" t="s">
        <v>412</v>
      </c>
      <c r="I80">
        <v>2021</v>
      </c>
      <c r="J80" s="13">
        <v>130313000</v>
      </c>
    </row>
    <row r="81" spans="1:11" hidden="1" x14ac:dyDescent="0.25">
      <c r="A81" t="s">
        <v>121</v>
      </c>
      <c r="B81" t="s">
        <v>119</v>
      </c>
      <c r="C81" t="s">
        <v>116</v>
      </c>
      <c r="D81" t="s">
        <v>117</v>
      </c>
      <c r="E81" t="s">
        <v>106</v>
      </c>
      <c r="F81" t="s">
        <v>416</v>
      </c>
      <c r="G81" s="22">
        <v>153333.33333333331</v>
      </c>
      <c r="H81" t="s">
        <v>179</v>
      </c>
      <c r="I81">
        <v>2021</v>
      </c>
      <c r="J81" s="13">
        <v>130183000</v>
      </c>
    </row>
    <row r="82" spans="1:11" s="69" customFormat="1" hidden="1" x14ac:dyDescent="0.25">
      <c r="A82" t="s">
        <v>334</v>
      </c>
      <c r="B82" t="s">
        <v>32</v>
      </c>
      <c r="C82" t="s">
        <v>10</v>
      </c>
      <c r="D82" t="s">
        <v>11</v>
      </c>
      <c r="E82" t="s">
        <v>33</v>
      </c>
      <c r="F82" t="s">
        <v>412</v>
      </c>
      <c r="G82">
        <v>70</v>
      </c>
      <c r="H82" t="s">
        <v>13</v>
      </c>
      <c r="I82">
        <v>2021</v>
      </c>
      <c r="J82" s="13">
        <v>129658000</v>
      </c>
      <c r="K82"/>
    </row>
    <row r="83" spans="1:11" hidden="1" x14ac:dyDescent="0.25">
      <c r="A83" t="s">
        <v>22</v>
      </c>
      <c r="B83" t="s">
        <v>23</v>
      </c>
      <c r="C83" t="s">
        <v>10</v>
      </c>
      <c r="D83" t="s">
        <v>11</v>
      </c>
      <c r="E83" t="s">
        <v>24</v>
      </c>
      <c r="F83" t="s">
        <v>414</v>
      </c>
      <c r="G83">
        <v>61</v>
      </c>
      <c r="H83" t="s">
        <v>13</v>
      </c>
      <c r="I83">
        <v>2021</v>
      </c>
      <c r="J83" s="13">
        <v>128410000</v>
      </c>
    </row>
    <row r="84" spans="1:11" x14ac:dyDescent="0.25">
      <c r="A84" t="s">
        <v>193</v>
      </c>
      <c r="B84" t="s">
        <v>395</v>
      </c>
      <c r="C84" t="s">
        <v>176</v>
      </c>
      <c r="D84" t="s">
        <v>396</v>
      </c>
      <c r="E84" t="s">
        <v>362</v>
      </c>
      <c r="F84" t="s">
        <v>414</v>
      </c>
      <c r="I84">
        <v>2021</v>
      </c>
      <c r="J84" s="13">
        <v>128287000</v>
      </c>
    </row>
    <row r="85" spans="1:11" hidden="1" x14ac:dyDescent="0.25">
      <c r="A85" t="s">
        <v>356</v>
      </c>
      <c r="B85" t="s">
        <v>357</v>
      </c>
      <c r="C85" t="s">
        <v>358</v>
      </c>
      <c r="D85" t="s">
        <v>359</v>
      </c>
      <c r="E85" t="s">
        <v>360</v>
      </c>
      <c r="F85" t="s">
        <v>415</v>
      </c>
      <c r="I85">
        <v>2021</v>
      </c>
      <c r="J85" s="13">
        <v>128226000</v>
      </c>
    </row>
    <row r="86" spans="1:11" hidden="1" x14ac:dyDescent="0.25">
      <c r="A86" t="s">
        <v>138</v>
      </c>
      <c r="B86" t="s">
        <v>139</v>
      </c>
      <c r="C86" t="s">
        <v>116</v>
      </c>
      <c r="D86" t="s">
        <v>117</v>
      </c>
      <c r="E86" t="s">
        <v>140</v>
      </c>
      <c r="F86" t="s">
        <v>414</v>
      </c>
      <c r="G86" s="22">
        <v>93400</v>
      </c>
      <c r="H86" t="s">
        <v>179</v>
      </c>
      <c r="I86">
        <v>2021</v>
      </c>
      <c r="J86" s="13">
        <v>128208990</v>
      </c>
    </row>
    <row r="87" spans="1:11" x14ac:dyDescent="0.25">
      <c r="A87" t="s">
        <v>193</v>
      </c>
      <c r="B87" t="s">
        <v>194</v>
      </c>
      <c r="C87" t="s">
        <v>176</v>
      </c>
      <c r="D87" t="s">
        <v>177</v>
      </c>
      <c r="E87" t="s">
        <v>195</v>
      </c>
      <c r="F87" t="s">
        <v>414</v>
      </c>
      <c r="G87" t="s">
        <v>78</v>
      </c>
      <c r="I87">
        <v>2021</v>
      </c>
      <c r="J87" s="13">
        <v>128207000</v>
      </c>
    </row>
    <row r="88" spans="1:11" hidden="1" x14ac:dyDescent="0.25">
      <c r="A88" t="s">
        <v>118</v>
      </c>
      <c r="B88" t="s">
        <v>119</v>
      </c>
      <c r="C88" t="s">
        <v>116</v>
      </c>
      <c r="D88" t="s">
        <v>117</v>
      </c>
      <c r="E88" t="s">
        <v>120</v>
      </c>
      <c r="F88" t="s">
        <v>416</v>
      </c>
      <c r="G88" s="22">
        <v>150000</v>
      </c>
      <c r="H88" t="s">
        <v>179</v>
      </c>
      <c r="I88">
        <v>2021</v>
      </c>
      <c r="J88" s="13">
        <v>128100192</v>
      </c>
    </row>
    <row r="89" spans="1:11" hidden="1" x14ac:dyDescent="0.25">
      <c r="A89" t="s">
        <v>400</v>
      </c>
      <c r="B89" t="s">
        <v>398</v>
      </c>
      <c r="C89" t="s">
        <v>383</v>
      </c>
      <c r="D89" t="s">
        <v>384</v>
      </c>
      <c r="E89" t="s">
        <v>173</v>
      </c>
      <c r="F89" t="s">
        <v>418</v>
      </c>
      <c r="I89">
        <v>2021</v>
      </c>
      <c r="J89" s="13">
        <v>126945000</v>
      </c>
    </row>
    <row r="90" spans="1:11" hidden="1" x14ac:dyDescent="0.25">
      <c r="A90" t="s">
        <v>354</v>
      </c>
      <c r="B90" t="s">
        <v>354</v>
      </c>
      <c r="C90" t="s">
        <v>347</v>
      </c>
      <c r="D90" t="s">
        <v>355</v>
      </c>
      <c r="E90" t="s">
        <v>81</v>
      </c>
      <c r="F90" t="s">
        <v>416</v>
      </c>
      <c r="I90">
        <v>2021</v>
      </c>
      <c r="J90" s="13">
        <v>126444000</v>
      </c>
    </row>
    <row r="91" spans="1:11" hidden="1" x14ac:dyDescent="0.25">
      <c r="A91" t="s">
        <v>114</v>
      </c>
      <c r="B91" t="s">
        <v>115</v>
      </c>
      <c r="C91" t="s">
        <v>116</v>
      </c>
      <c r="D91" t="s">
        <v>117</v>
      </c>
      <c r="E91" t="s">
        <v>56</v>
      </c>
      <c r="F91" t="s">
        <v>416</v>
      </c>
      <c r="G91" s="22">
        <v>120000</v>
      </c>
      <c r="H91" t="s">
        <v>179</v>
      </c>
      <c r="I91">
        <v>2021</v>
      </c>
      <c r="J91" s="13">
        <v>123636000</v>
      </c>
    </row>
    <row r="92" spans="1:11" hidden="1" x14ac:dyDescent="0.25">
      <c r="A92" s="27" t="s">
        <v>340</v>
      </c>
      <c r="B92" s="16"/>
      <c r="C92" s="26" t="s">
        <v>204</v>
      </c>
      <c r="D92" s="25" t="s">
        <v>217</v>
      </c>
      <c r="E92" s="12" t="s">
        <v>345</v>
      </c>
      <c r="F92" s="12" t="s">
        <v>418</v>
      </c>
      <c r="G92" s="23">
        <v>600000</v>
      </c>
      <c r="H92" t="s">
        <v>179</v>
      </c>
      <c r="I92">
        <v>2021</v>
      </c>
      <c r="J92" s="22">
        <v>123165000</v>
      </c>
    </row>
    <row r="93" spans="1:11" hidden="1" x14ac:dyDescent="0.25">
      <c r="A93" t="s">
        <v>406</v>
      </c>
      <c r="B93" t="s">
        <v>406</v>
      </c>
      <c r="C93" t="s">
        <v>387</v>
      </c>
      <c r="D93" t="s">
        <v>393</v>
      </c>
      <c r="E93" t="s">
        <v>407</v>
      </c>
      <c r="F93" t="s">
        <v>419</v>
      </c>
      <c r="I93">
        <v>2021</v>
      </c>
      <c r="J93" s="13">
        <v>122847000</v>
      </c>
    </row>
    <row r="94" spans="1:11" s="69" customFormat="1" hidden="1" x14ac:dyDescent="0.25">
      <c r="A94" s="69" t="s">
        <v>159</v>
      </c>
      <c r="B94" s="69" t="s">
        <v>160</v>
      </c>
      <c r="C94" s="69" t="s">
        <v>116</v>
      </c>
      <c r="D94" s="69" t="s">
        <v>117</v>
      </c>
      <c r="E94" s="69" t="s">
        <v>161</v>
      </c>
      <c r="F94" s="69" t="s">
        <v>414</v>
      </c>
      <c r="G94" s="71">
        <v>110000</v>
      </c>
      <c r="H94" s="73" t="s">
        <v>179</v>
      </c>
      <c r="I94" s="69" t="s">
        <v>156</v>
      </c>
      <c r="J94" s="72">
        <v>122771831.36135496</v>
      </c>
      <c r="K94" s="69" t="s">
        <v>299</v>
      </c>
    </row>
    <row r="95" spans="1:11" hidden="1" x14ac:dyDescent="0.25">
      <c r="A95" t="s">
        <v>25</v>
      </c>
      <c r="B95" t="s">
        <v>9</v>
      </c>
      <c r="C95" t="s">
        <v>10</v>
      </c>
      <c r="D95" t="s">
        <v>11</v>
      </c>
      <c r="E95" t="s">
        <v>26</v>
      </c>
      <c r="F95" t="s">
        <v>414</v>
      </c>
      <c r="G95">
        <v>80</v>
      </c>
      <c r="H95" t="s">
        <v>13</v>
      </c>
      <c r="I95">
        <v>2021</v>
      </c>
      <c r="J95" s="13">
        <v>122010000</v>
      </c>
    </row>
    <row r="96" spans="1:11" s="69" customFormat="1" hidden="1" x14ac:dyDescent="0.25">
      <c r="A96" t="s">
        <v>341</v>
      </c>
      <c r="B96" t="s">
        <v>342</v>
      </c>
      <c r="C96" s="15" t="s">
        <v>204</v>
      </c>
      <c r="D96" s="12" t="s">
        <v>217</v>
      </c>
      <c r="E96" s="12" t="s">
        <v>343</v>
      </c>
      <c r="F96" s="12" t="s">
        <v>418</v>
      </c>
      <c r="G96" s="23">
        <v>1200000</v>
      </c>
      <c r="H96" t="s">
        <v>179</v>
      </c>
      <c r="I96">
        <v>2021</v>
      </c>
      <c r="J96" s="22">
        <v>120899000</v>
      </c>
      <c r="K96"/>
    </row>
    <row r="97" spans="1:11" hidden="1" x14ac:dyDescent="0.25">
      <c r="A97" t="s">
        <v>165</v>
      </c>
      <c r="B97" t="s">
        <v>154</v>
      </c>
      <c r="C97" t="s">
        <v>116</v>
      </c>
      <c r="D97" t="s">
        <v>166</v>
      </c>
      <c r="E97" t="s">
        <v>167</v>
      </c>
      <c r="F97" t="s">
        <v>414</v>
      </c>
      <c r="G97" s="22">
        <v>160000</v>
      </c>
      <c r="H97" s="21" t="s">
        <v>179</v>
      </c>
      <c r="I97" t="s">
        <v>156</v>
      </c>
      <c r="J97" s="14">
        <v>120000000</v>
      </c>
      <c r="K97" t="s">
        <v>299</v>
      </c>
    </row>
    <row r="98" spans="1:11" hidden="1" x14ac:dyDescent="0.25">
      <c r="A98" t="s">
        <v>57</v>
      </c>
      <c r="B98" t="s">
        <v>48</v>
      </c>
      <c r="C98" t="s">
        <v>10</v>
      </c>
      <c r="D98" t="s">
        <v>11</v>
      </c>
      <c r="E98" t="s">
        <v>58</v>
      </c>
      <c r="F98" t="s">
        <v>414</v>
      </c>
      <c r="G98">
        <v>110</v>
      </c>
      <c r="H98" t="s">
        <v>13</v>
      </c>
      <c r="I98">
        <v>2021</v>
      </c>
      <c r="J98" s="13">
        <v>119204000</v>
      </c>
    </row>
    <row r="99" spans="1:11" hidden="1" x14ac:dyDescent="0.25">
      <c r="A99" t="s">
        <v>385</v>
      </c>
      <c r="B99" t="s">
        <v>386</v>
      </c>
      <c r="C99" t="s">
        <v>387</v>
      </c>
      <c r="D99" t="s">
        <v>388</v>
      </c>
      <c r="E99" t="s">
        <v>389</v>
      </c>
      <c r="F99" t="s">
        <v>412</v>
      </c>
      <c r="I99">
        <v>2021</v>
      </c>
      <c r="J99" s="13">
        <v>118682000</v>
      </c>
    </row>
    <row r="100" spans="1:11" hidden="1" x14ac:dyDescent="0.25">
      <c r="A100" t="s">
        <v>405</v>
      </c>
      <c r="B100" t="s">
        <v>405</v>
      </c>
      <c r="C100" t="s">
        <v>387</v>
      </c>
      <c r="D100" t="s">
        <v>393</v>
      </c>
      <c r="E100" t="s">
        <v>49</v>
      </c>
      <c r="F100" t="s">
        <v>418</v>
      </c>
      <c r="I100">
        <v>2021</v>
      </c>
      <c r="J100" s="13">
        <v>115379000</v>
      </c>
    </row>
    <row r="101" spans="1:11" hidden="1" x14ac:dyDescent="0.25">
      <c r="A101" t="s">
        <v>162</v>
      </c>
      <c r="B101" t="s">
        <v>163</v>
      </c>
      <c r="C101" t="s">
        <v>116</v>
      </c>
      <c r="D101" t="s">
        <v>117</v>
      </c>
      <c r="E101" t="s">
        <v>164</v>
      </c>
      <c r="F101" t="s">
        <v>414</v>
      </c>
      <c r="G101" s="22">
        <v>100000</v>
      </c>
      <c r="H101" s="21" t="s">
        <v>179</v>
      </c>
      <c r="I101" t="s">
        <v>156</v>
      </c>
      <c r="J101" s="14">
        <v>111610755.78304997</v>
      </c>
      <c r="K101" t="s">
        <v>299</v>
      </c>
    </row>
    <row r="102" spans="1:11" hidden="1" x14ac:dyDescent="0.25">
      <c r="A102" t="s">
        <v>8</v>
      </c>
      <c r="B102" t="s">
        <v>9</v>
      </c>
      <c r="C102" t="s">
        <v>10</v>
      </c>
      <c r="D102" t="s">
        <v>11</v>
      </c>
      <c r="E102" t="s">
        <v>12</v>
      </c>
      <c r="F102" t="s">
        <v>414</v>
      </c>
      <c r="G102">
        <v>139</v>
      </c>
      <c r="H102" t="s">
        <v>13</v>
      </c>
      <c r="I102">
        <v>2021</v>
      </c>
      <c r="J102" s="13">
        <v>107654000</v>
      </c>
    </row>
    <row r="103" spans="1:11" hidden="1" x14ac:dyDescent="0.25">
      <c r="A103" t="s">
        <v>391</v>
      </c>
      <c r="B103" t="s">
        <v>390</v>
      </c>
      <c r="C103" t="s">
        <v>387</v>
      </c>
      <c r="D103" t="s">
        <v>393</v>
      </c>
      <c r="E103" t="s">
        <v>392</v>
      </c>
      <c r="F103" t="s">
        <v>417</v>
      </c>
      <c r="I103">
        <v>2021</v>
      </c>
      <c r="J103" s="13">
        <v>107158000</v>
      </c>
    </row>
    <row r="104" spans="1:11" hidden="1" x14ac:dyDescent="0.25">
      <c r="A104" t="s">
        <v>132</v>
      </c>
      <c r="B104" t="s">
        <v>133</v>
      </c>
      <c r="C104" t="s">
        <v>116</v>
      </c>
      <c r="D104" t="s">
        <v>117</v>
      </c>
      <c r="E104" t="s">
        <v>134</v>
      </c>
      <c r="F104" t="s">
        <v>414</v>
      </c>
      <c r="G104" s="22">
        <v>93000</v>
      </c>
      <c r="H104" t="s">
        <v>179</v>
      </c>
      <c r="I104">
        <v>2021</v>
      </c>
      <c r="J104" s="13">
        <v>105538400</v>
      </c>
    </row>
    <row r="105" spans="1:11" hidden="1" x14ac:dyDescent="0.25">
      <c r="A105" t="s">
        <v>408</v>
      </c>
      <c r="B105" t="s">
        <v>408</v>
      </c>
      <c r="C105" t="s">
        <v>204</v>
      </c>
      <c r="D105" t="s">
        <v>409</v>
      </c>
      <c r="E105" t="s">
        <v>410</v>
      </c>
      <c r="F105" t="s">
        <v>413</v>
      </c>
      <c r="I105">
        <v>2021</v>
      </c>
      <c r="J105" s="13">
        <v>104847800</v>
      </c>
    </row>
    <row r="106" spans="1:11" hidden="1" x14ac:dyDescent="0.25">
      <c r="A106" t="s">
        <v>203</v>
      </c>
      <c r="B106" t="s">
        <v>203</v>
      </c>
      <c r="C106" t="s">
        <v>204</v>
      </c>
      <c r="D106" t="s">
        <v>205</v>
      </c>
      <c r="E106" t="s">
        <v>206</v>
      </c>
      <c r="F106" t="s">
        <v>414</v>
      </c>
      <c r="G106" s="22">
        <v>1100000</v>
      </c>
      <c r="H106" t="s">
        <v>179</v>
      </c>
      <c r="I106">
        <v>2021</v>
      </c>
      <c r="J106" s="13">
        <v>101890000</v>
      </c>
    </row>
    <row r="107" spans="1:11" hidden="1" x14ac:dyDescent="0.25">
      <c r="A107" s="16" t="s">
        <v>338</v>
      </c>
      <c r="B107" s="16" t="s">
        <v>339</v>
      </c>
      <c r="C107" s="15" t="s">
        <v>204</v>
      </c>
      <c r="D107" s="12" t="s">
        <v>217</v>
      </c>
      <c r="E107" s="12" t="s">
        <v>344</v>
      </c>
      <c r="F107" s="12" t="s">
        <v>414</v>
      </c>
      <c r="G107" s="23">
        <v>600000</v>
      </c>
      <c r="H107" t="s">
        <v>179</v>
      </c>
      <c r="I107">
        <v>2021</v>
      </c>
      <c r="J107" s="22">
        <v>101890000</v>
      </c>
    </row>
    <row r="108" spans="1:11" hidden="1" x14ac:dyDescent="0.25">
      <c r="A108" s="69" t="s">
        <v>401</v>
      </c>
      <c r="B108" s="69" t="s">
        <v>390</v>
      </c>
      <c r="C108" s="69" t="s">
        <v>387</v>
      </c>
      <c r="D108" s="69" t="s">
        <v>393</v>
      </c>
      <c r="E108" s="69" t="s">
        <v>173</v>
      </c>
      <c r="F108" s="69" t="s">
        <v>418</v>
      </c>
      <c r="G108" s="69"/>
      <c r="H108" s="69"/>
      <c r="I108" s="69">
        <v>2021</v>
      </c>
      <c r="J108" s="72">
        <v>101439000</v>
      </c>
      <c r="K108" s="69"/>
    </row>
    <row r="109" spans="1:11" hidden="1" x14ac:dyDescent="0.25">
      <c r="A109" t="s">
        <v>215</v>
      </c>
      <c r="B109" t="s">
        <v>216</v>
      </c>
      <c r="C109" t="s">
        <v>204</v>
      </c>
      <c r="D109" t="s">
        <v>217</v>
      </c>
      <c r="E109" t="s">
        <v>12</v>
      </c>
      <c r="F109" t="s">
        <v>414</v>
      </c>
      <c r="G109" s="22">
        <v>650000</v>
      </c>
      <c r="H109" t="s">
        <v>179</v>
      </c>
      <c r="I109">
        <v>2018</v>
      </c>
      <c r="J109" s="22">
        <v>100700000</v>
      </c>
    </row>
    <row r="110" spans="1:11" hidden="1" x14ac:dyDescent="0.25">
      <c r="A110" s="24" t="s">
        <v>331</v>
      </c>
      <c r="B110" s="12" t="s">
        <v>332</v>
      </c>
      <c r="C110" s="12" t="s">
        <v>10</v>
      </c>
      <c r="D110" s="12" t="s">
        <v>11</v>
      </c>
      <c r="E110" s="15" t="s">
        <v>333</v>
      </c>
      <c r="F110" s="15" t="s">
        <v>416</v>
      </c>
      <c r="G110" s="12">
        <v>80</v>
      </c>
      <c r="H110" s="12" t="s">
        <v>13</v>
      </c>
      <c r="I110" s="12">
        <v>2021</v>
      </c>
      <c r="J110" s="13">
        <v>100653000</v>
      </c>
    </row>
    <row r="111" spans="1:11" hidden="1" x14ac:dyDescent="0.25"/>
    <row r="112" spans="1:11" hidden="1" x14ac:dyDescent="0.25"/>
    <row r="113" spans="2:11" hidden="1" x14ac:dyDescent="0.25"/>
    <row r="114" spans="2:11" hidden="1" x14ac:dyDescent="0.25"/>
    <row r="117" spans="2:11" x14ac:dyDescent="0.25">
      <c r="D117" s="32" t="s">
        <v>435</v>
      </c>
      <c r="G117" s="32" t="s">
        <v>425</v>
      </c>
      <c r="H117" s="32" t="s">
        <v>425</v>
      </c>
      <c r="I117" s="32" t="s">
        <v>426</v>
      </c>
      <c r="J117" s="32" t="s">
        <v>426</v>
      </c>
    </row>
    <row r="118" spans="2:11" x14ac:dyDescent="0.25">
      <c r="B118" s="35" t="s">
        <v>222</v>
      </c>
      <c r="C118" s="35" t="s">
        <v>218</v>
      </c>
      <c r="D118" s="35" t="s">
        <v>220</v>
      </c>
      <c r="E118" s="35" t="s">
        <v>221</v>
      </c>
      <c r="F118" s="29" t="s">
        <v>379</v>
      </c>
      <c r="G118" s="1" t="s">
        <v>424</v>
      </c>
      <c r="H118" s="29" t="s">
        <v>379</v>
      </c>
      <c r="I118" s="1" t="s">
        <v>424</v>
      </c>
      <c r="J118" s="29" t="s">
        <v>379</v>
      </c>
    </row>
    <row r="119" spans="2:11" x14ac:dyDescent="0.25">
      <c r="B119" s="36" t="s">
        <v>10</v>
      </c>
      <c r="C119" s="36">
        <f>COUNTIFS(Tabella3[Sector],"Energy")</f>
        <v>39</v>
      </c>
      <c r="D119" s="37">
        <f>SUMIF(Tabella3[Sector],"Energy",Tabella3[Yearly CO2 emission '[kg/year']])</f>
        <v>28290193745</v>
      </c>
      <c r="E119" s="40">
        <f>D119/10^9</f>
        <v>28.290193745</v>
      </c>
      <c r="F119" s="42">
        <f t="shared" ref="F119:F127" si="0">D119/D$128</f>
        <v>0.58380993059864517</v>
      </c>
      <c r="G119" s="64">
        <f>0.36*G$128/1000000000</f>
        <v>9.7919999999999998</v>
      </c>
      <c r="H119" s="42">
        <v>0.36</v>
      </c>
      <c r="I119" s="64">
        <f>0.35*I$128/1000000000</f>
        <v>11.97</v>
      </c>
      <c r="J119" s="42">
        <v>0.35</v>
      </c>
    </row>
    <row r="120" spans="2:11" x14ac:dyDescent="0.25">
      <c r="B120" s="38" t="s">
        <v>436</v>
      </c>
      <c r="C120" s="38">
        <f>COUNTIFS(Tabella3[Sector],"Waste")</f>
        <v>22</v>
      </c>
      <c r="D120" s="39">
        <f>SUMIF(Tabella3[Sector],"Waste",Tabella3[Yearly CO2 emission '[kg/year']])</f>
        <v>4882397838.0718594</v>
      </c>
      <c r="E120" s="41">
        <f>D120/10^9</f>
        <v>4.8823978380718591</v>
      </c>
      <c r="F120" s="43">
        <f t="shared" si="0"/>
        <v>0.10075549035444428</v>
      </c>
      <c r="G120" s="62">
        <f>0.16*G$128/1000000000</f>
        <v>4.3520000000000003</v>
      </c>
      <c r="H120" s="43">
        <v>0.16</v>
      </c>
      <c r="I120" s="62">
        <f>0.13*I$128/1000000000</f>
        <v>4.4459999999999997</v>
      </c>
      <c r="J120" s="43">
        <v>0.13</v>
      </c>
    </row>
    <row r="121" spans="2:11" x14ac:dyDescent="0.25">
      <c r="B121" s="36" t="s">
        <v>176</v>
      </c>
      <c r="C121" s="36">
        <f>COUNTIFS(Tabella3[Sector],"Cement")</f>
        <v>13</v>
      </c>
      <c r="D121" s="37">
        <f>SUMIF(Tabella3[Sector],"Cement",Tabella3[Yearly CO2 emission '[kg/year']])</f>
        <v>6269031470</v>
      </c>
      <c r="E121" s="40">
        <f t="shared" ref="E121" si="1">D121/10^9</f>
        <v>6.2690314699999998</v>
      </c>
      <c r="F121" s="42">
        <f t="shared" si="0"/>
        <v>0.12937072331179336</v>
      </c>
      <c r="G121" s="63">
        <f>0.07*G$128/1000000000</f>
        <v>1.9040000000000001</v>
      </c>
      <c r="H121" s="42">
        <v>7.0000000000000007E-2</v>
      </c>
      <c r="I121" s="63">
        <f>0.07*I$128/1000000000</f>
        <v>2.3940000000000001</v>
      </c>
      <c r="J121" s="42">
        <v>7.0000000000000007E-2</v>
      </c>
    </row>
    <row r="122" spans="2:11" x14ac:dyDescent="0.25">
      <c r="B122" s="38" t="s">
        <v>204</v>
      </c>
      <c r="C122" s="38">
        <f>COUNTIFS(Tabella3[Sector],"Steel")</f>
        <v>11</v>
      </c>
      <c r="D122" s="39">
        <f>SUMIF(Tabella3[Sector],"Steel",Tabella3[Yearly CO2 emission '[kg/year']])</f>
        <v>2097012000</v>
      </c>
      <c r="E122" s="41">
        <f>D122/10^9</f>
        <v>2.0970119999999999</v>
      </c>
      <c r="F122" s="43">
        <f t="shared" si="0"/>
        <v>4.3274939762506959E-2</v>
      </c>
      <c r="G122" s="62">
        <f>0.12*G$128/1000000000</f>
        <v>3.2639999999999998</v>
      </c>
      <c r="H122" s="43">
        <v>0.12</v>
      </c>
      <c r="I122" s="62">
        <f>0.12*I$128/1000000000</f>
        <v>4.1040000000000001</v>
      </c>
      <c r="J122" s="43">
        <v>0.12</v>
      </c>
    </row>
    <row r="123" spans="2:11" x14ac:dyDescent="0.25">
      <c r="B123" s="36" t="s">
        <v>347</v>
      </c>
      <c r="C123" s="36">
        <v>7</v>
      </c>
      <c r="D123" s="37">
        <f>SUMIF(Tabella3[Sector],"Glass",Tabella3[Yearly CO2 emission '[kg/year']])</f>
        <v>565505000</v>
      </c>
      <c r="E123" s="40">
        <f>D123/10^9</f>
        <v>0.56550500000000004</v>
      </c>
      <c r="F123" s="42">
        <f t="shared" si="0"/>
        <v>1.1670030886993732E-2</v>
      </c>
      <c r="G123" s="63">
        <f>0.07*G$128/1000000000</f>
        <v>1.9040000000000001</v>
      </c>
      <c r="H123" s="42">
        <v>7.0000000000000007E-2</v>
      </c>
      <c r="I123" s="63">
        <f>0.14*I$128/1000000000</f>
        <v>4.7880000000000003</v>
      </c>
      <c r="J123" s="42">
        <v>0.14000000000000001</v>
      </c>
    </row>
    <row r="124" spans="2:11" x14ac:dyDescent="0.25">
      <c r="B124" s="38" t="s">
        <v>387</v>
      </c>
      <c r="C124" s="38">
        <v>5</v>
      </c>
      <c r="D124" s="47">
        <f>SUMIF(Tabella3[Sector],"Chemicals",Tabella3[Yearly CO2 emission '[kg/year']])</f>
        <v>2148493930</v>
      </c>
      <c r="E124" s="48">
        <f>D124/10^9</f>
        <v>2.1484939299999999</v>
      </c>
      <c r="F124" s="49">
        <f t="shared" si="0"/>
        <v>4.433734542332702E-2</v>
      </c>
      <c r="G124" s="64">
        <f>0.02*G$128/1000000000</f>
        <v>0.54400000000000004</v>
      </c>
      <c r="H124" s="49">
        <v>0.02</v>
      </c>
      <c r="I124" s="64">
        <f>0.02*I$128/1000000000</f>
        <v>0.68400000000000005</v>
      </c>
      <c r="J124" s="49">
        <v>0.02</v>
      </c>
    </row>
    <row r="125" spans="2:11" x14ac:dyDescent="0.25">
      <c r="B125" s="36" t="s">
        <v>383</v>
      </c>
      <c r="C125" s="36">
        <v>4</v>
      </c>
      <c r="D125" s="37">
        <f>SUMIF(Tabella3[Sector],"Lime",Tabella3[Yearly CO2 emission '[kg/year']])</f>
        <v>911678000</v>
      </c>
      <c r="E125" s="40">
        <f t="shared" ref="E125:E127" si="2">D125/10^9</f>
        <v>0.91167799999999999</v>
      </c>
      <c r="F125" s="42">
        <f t="shared" si="0"/>
        <v>1.8813822015707502E-2</v>
      </c>
      <c r="G125" s="63">
        <f>0.03*G$128/1000000000</f>
        <v>0.81599999999999995</v>
      </c>
      <c r="H125" s="42">
        <v>0.03</v>
      </c>
      <c r="I125" s="63">
        <f>0.02*I$128/1000000000</f>
        <v>0.68400000000000005</v>
      </c>
      <c r="J125" s="42">
        <v>0.02</v>
      </c>
    </row>
    <row r="126" spans="2:11" x14ac:dyDescent="0.25">
      <c r="B126" s="38" t="s">
        <v>427</v>
      </c>
      <c r="C126" s="38">
        <v>3</v>
      </c>
      <c r="D126" s="47">
        <f>SUMIF(Tabella3[Sector],"Refining",Tabella3[Yearly CO2 emission '[kg/year']])</f>
        <v>2706016117</v>
      </c>
      <c r="E126" s="48">
        <f>D126/10^9</f>
        <v>2.7060161169999999</v>
      </c>
      <c r="F126" s="49">
        <f t="shared" si="0"/>
        <v>5.5842639173999946E-2</v>
      </c>
      <c r="G126" s="64">
        <f>0.1*G$128/1000000000</f>
        <v>2.72</v>
      </c>
      <c r="H126" s="49">
        <v>0.1</v>
      </c>
      <c r="I126" s="64">
        <f>0.09*I$128/1000000000</f>
        <v>3.0779999999999998</v>
      </c>
      <c r="J126" s="49">
        <v>0.09</v>
      </c>
      <c r="K126" s="78"/>
    </row>
    <row r="127" spans="2:11" x14ac:dyDescent="0.25">
      <c r="B127" s="53" t="s">
        <v>358</v>
      </c>
      <c r="C127" s="53">
        <v>4</v>
      </c>
      <c r="D127" s="54">
        <f>SUMIF(Tabella3[Sector],"Paper",Tabella3[Yearly CO2 emission '[kg/year']])</f>
        <v>587555643</v>
      </c>
      <c r="E127" s="55">
        <f t="shared" si="2"/>
        <v>0.58755564299999996</v>
      </c>
      <c r="F127" s="56">
        <f t="shared" si="0"/>
        <v>1.2125078472581961E-2</v>
      </c>
      <c r="G127" s="65">
        <f>0.04*G$128/1000000000</f>
        <v>1.0880000000000001</v>
      </c>
      <c r="H127" s="56">
        <v>0.04</v>
      </c>
      <c r="I127" s="65">
        <f>0.03*I$128/1000000000</f>
        <v>1.026</v>
      </c>
      <c r="J127" s="56">
        <v>0.03</v>
      </c>
    </row>
    <row r="128" spans="2:11" x14ac:dyDescent="0.25">
      <c r="B128" s="50" t="s">
        <v>219</v>
      </c>
      <c r="C128" s="50">
        <f>C119+C120+C121+C122+C123+C127</f>
        <v>96</v>
      </c>
      <c r="D128" s="51">
        <f>D119+D120+D121+D122+D123+D127+D124+D125+D126</f>
        <v>48457883743.071861</v>
      </c>
      <c r="E128" s="52">
        <f>E119+E120+E121+E122+E123+E127+E124+E125+E126</f>
        <v>48.457883743071861</v>
      </c>
      <c r="F128" s="52"/>
      <c r="G128" s="51">
        <v>27200000000</v>
      </c>
      <c r="H128" s="52"/>
      <c r="I128" s="51">
        <v>34200000000</v>
      </c>
      <c r="J128" s="57"/>
    </row>
    <row r="129" spans="2:11" x14ac:dyDescent="0.25">
      <c r="G129" s="44">
        <f>SUM(G119:G127)</f>
        <v>26.384</v>
      </c>
      <c r="I129" s="44">
        <f>SUM(I119:I127)</f>
        <v>33.174000000000007</v>
      </c>
    </row>
    <row r="130" spans="2:11" x14ac:dyDescent="0.25">
      <c r="G130" s="44">
        <f>G128-G129</f>
        <v>27199999973.616001</v>
      </c>
      <c r="I130" s="44">
        <f>I128-I129</f>
        <v>34199999966.826</v>
      </c>
    </row>
    <row r="131" spans="2:11" x14ac:dyDescent="0.25">
      <c r="F131" t="s">
        <v>428</v>
      </c>
      <c r="G131" s="45">
        <f>G130/G128</f>
        <v>0.99999999903000003</v>
      </c>
      <c r="H131" t="s">
        <v>428</v>
      </c>
      <c r="I131" s="45">
        <f>I130/I128</f>
        <v>0.99999999903000003</v>
      </c>
    </row>
    <row r="132" spans="2:11" x14ac:dyDescent="0.25">
      <c r="K132" s="12"/>
    </row>
    <row r="135" spans="2:11" x14ac:dyDescent="0.25">
      <c r="C135" s="32" t="s">
        <v>423</v>
      </c>
      <c r="D135" s="32" t="s">
        <v>423</v>
      </c>
      <c r="E135" s="32" t="s">
        <v>425</v>
      </c>
      <c r="F135" s="32" t="s">
        <v>425</v>
      </c>
      <c r="G135" s="32" t="s">
        <v>426</v>
      </c>
      <c r="H135" s="32" t="s">
        <v>426</v>
      </c>
    </row>
    <row r="136" spans="2:11" x14ac:dyDescent="0.25">
      <c r="B136" s="1" t="s">
        <v>421</v>
      </c>
      <c r="C136" s="1" t="s">
        <v>220</v>
      </c>
      <c r="D136" s="58" t="s">
        <v>379</v>
      </c>
      <c r="E136" s="1" t="s">
        <v>424</v>
      </c>
      <c r="F136" s="29" t="s">
        <v>379</v>
      </c>
      <c r="G136" s="1" t="s">
        <v>424</v>
      </c>
      <c r="H136" s="29" t="s">
        <v>379</v>
      </c>
    </row>
    <row r="137" spans="2:11" x14ac:dyDescent="0.25">
      <c r="B137" s="3" t="s">
        <v>416</v>
      </c>
      <c r="C137" s="66">
        <f>SUMIF(Tabella3[Region],"EMILIA ROMAGNA",Tabella3[Yearly CO2 emission '[kg/year']])/1000000000</f>
        <v>10.377977874999999</v>
      </c>
      <c r="D137" s="59">
        <f t="shared" ref="D137:D144" si="3">C137/C$145</f>
        <v>0.21416490101022545</v>
      </c>
      <c r="E137" s="66">
        <f>3600000000/1000000000</f>
        <v>3.6</v>
      </c>
      <c r="F137" s="59">
        <f t="shared" ref="F137:F144" si="4">E137/E$145</f>
        <v>0.19148936170212769</v>
      </c>
      <c r="G137" s="66">
        <f>6400000000/1000000000</f>
        <v>6.4</v>
      </c>
      <c r="H137" s="30">
        <f t="shared" ref="H137:H144" si="5">G137/G$145</f>
        <v>0.26229508196721313</v>
      </c>
    </row>
    <row r="138" spans="2:11" x14ac:dyDescent="0.25">
      <c r="B138" s="5" t="s">
        <v>414</v>
      </c>
      <c r="C138" s="67">
        <f>SUMIF(Tabella3[Region],"LOMBARDIA",Tabella3[Yearly CO2 emission '[kg/year']])/1000000000</f>
        <v>20.895629520144407</v>
      </c>
      <c r="D138" s="60">
        <f t="shared" si="3"/>
        <v>0.43121217655593352</v>
      </c>
      <c r="E138" s="68">
        <f>6400000000/1000000000</f>
        <v>6.4</v>
      </c>
      <c r="F138" s="34">
        <f t="shared" si="4"/>
        <v>0.34042553191489366</v>
      </c>
      <c r="G138" s="68">
        <f>9500000000/1000000000</f>
        <v>9.5</v>
      </c>
      <c r="H138" s="34">
        <f t="shared" si="5"/>
        <v>0.38934426229508196</v>
      </c>
    </row>
    <row r="139" spans="2:11" hidden="1" x14ac:dyDescent="0.25">
      <c r="B139" s="3" t="s">
        <v>417</v>
      </c>
      <c r="C139" s="66">
        <f>SUMIF(Tabella3[Region],"LIGURIA",Tabella3[Yearly CO2 emission '[kg/year']])/1000000000</f>
        <v>1.194106817</v>
      </c>
      <c r="D139" s="59">
        <f t="shared" si="3"/>
        <v>2.4642157782441831E-2</v>
      </c>
      <c r="E139" s="66">
        <v>0</v>
      </c>
      <c r="F139" s="59">
        <f t="shared" si="4"/>
        <v>0</v>
      </c>
      <c r="G139" s="66">
        <v>0</v>
      </c>
      <c r="H139" s="30">
        <f t="shared" si="5"/>
        <v>0</v>
      </c>
    </row>
    <row r="140" spans="2:11" x14ac:dyDescent="0.25">
      <c r="B140" s="5" t="s">
        <v>418</v>
      </c>
      <c r="C140" s="67">
        <f>SUMIF(Tabella3[Region],"VENETO",Tabella3[Yearly CO2 emission '[kg/year']])/1000000000</f>
        <v>4.7945835184094907</v>
      </c>
      <c r="D140" s="60">
        <f t="shared" si="3"/>
        <v>9.8943312172500367E-2</v>
      </c>
      <c r="E140" s="68">
        <f>2700000000/1000000000</f>
        <v>2.7</v>
      </c>
      <c r="F140" s="61">
        <f t="shared" si="4"/>
        <v>0.14361702127659579</v>
      </c>
      <c r="G140" s="68">
        <f>2700000000/1000000000</f>
        <v>2.7</v>
      </c>
      <c r="H140" s="34">
        <f t="shared" si="5"/>
        <v>0.11065573770491803</v>
      </c>
    </row>
    <row r="141" spans="2:11" x14ac:dyDescent="0.25">
      <c r="B141" s="3" t="s">
        <v>422</v>
      </c>
      <c r="C141" s="66">
        <f>SUMIF(Tabella3[Region],"FRIULI VENEZIA GIULIA",Tabella3[Yearly CO2 emission '[kg/year']])/1000000000</f>
        <v>2.9530978139999999</v>
      </c>
      <c r="D141" s="59">
        <f t="shared" si="3"/>
        <v>6.0941534914268951E-2</v>
      </c>
      <c r="E141" s="66">
        <f>3200000000/1000000000</f>
        <v>3.2</v>
      </c>
      <c r="F141" s="59">
        <f t="shared" si="4"/>
        <v>0.17021276595744683</v>
      </c>
      <c r="G141" s="66">
        <f>2300000000/1000000000</f>
        <v>2.2999999999999998</v>
      </c>
      <c r="H141" s="30">
        <f t="shared" si="5"/>
        <v>9.4262295081967193E-2</v>
      </c>
    </row>
    <row r="142" spans="2:11" x14ac:dyDescent="0.25">
      <c r="B142" s="5" t="s">
        <v>412</v>
      </c>
      <c r="C142" s="67">
        <f>SUMIF(Tabella3[Region],"PIEMONTE",Tabella3[Yearly CO2 emission '[kg/year']])/1000000000</f>
        <v>7.687785216</v>
      </c>
      <c r="D142" s="60">
        <f t="shared" si="3"/>
        <v>0.15864880226221476</v>
      </c>
      <c r="E142" s="68">
        <f>2800000000/1000000000</f>
        <v>2.8</v>
      </c>
      <c r="F142" s="61">
        <f t="shared" si="4"/>
        <v>0.14893617021276598</v>
      </c>
      <c r="G142" s="68">
        <f>3400000000/1000000000</f>
        <v>3.4</v>
      </c>
      <c r="H142" s="34">
        <f t="shared" si="5"/>
        <v>0.13934426229508196</v>
      </c>
    </row>
    <row r="143" spans="2:11" hidden="1" x14ac:dyDescent="0.25">
      <c r="B143" s="3" t="s">
        <v>413</v>
      </c>
      <c r="C143" s="66">
        <f>SUMIF(Tabella3[Region],"VALLE D'AOSTA",Tabella3[Yearly CO2 emission '[kg/year']])/1000000000</f>
        <v>0.1048478</v>
      </c>
      <c r="D143" s="59">
        <f t="shared" si="3"/>
        <v>2.1636892059899403E-3</v>
      </c>
      <c r="E143" s="66">
        <v>0</v>
      </c>
      <c r="F143" s="59">
        <f t="shared" si="4"/>
        <v>0</v>
      </c>
      <c r="G143" s="66">
        <v>0</v>
      </c>
      <c r="H143" s="30">
        <f t="shared" si="5"/>
        <v>0</v>
      </c>
    </row>
    <row r="144" spans="2:11" x14ac:dyDescent="0.25">
      <c r="B144" s="5" t="s">
        <v>415</v>
      </c>
      <c r="C144" s="67">
        <f>SUMIF(Tabella3[Region],"TRENTINO ALTO ADIGE",Tabella3[Yearly CO2 emission '[kg/year']])/1000000000</f>
        <v>0.44985518251796497</v>
      </c>
      <c r="D144" s="60">
        <f t="shared" si="3"/>
        <v>9.283426096425058E-3</v>
      </c>
      <c r="E144" s="68">
        <f>100000000/1000000000</f>
        <v>0.1</v>
      </c>
      <c r="F144" s="61">
        <f t="shared" si="4"/>
        <v>5.3191489361702135E-3</v>
      </c>
      <c r="G144" s="68">
        <f>100000000/1000000000</f>
        <v>0.1</v>
      </c>
      <c r="H144" s="34">
        <f t="shared" si="5"/>
        <v>4.0983606557377051E-3</v>
      </c>
    </row>
    <row r="145" spans="2:8" x14ac:dyDescent="0.25">
      <c r="B145" s="7" t="s">
        <v>437</v>
      </c>
      <c r="C145" s="31">
        <f>C137+C138+C139+C140+C141+C144+C142+C143</f>
        <v>48.457883743071868</v>
      </c>
      <c r="D145" s="31"/>
      <c r="E145" s="31">
        <f>E137+E138+E139+E140+E141+E144+E142+E143</f>
        <v>18.799999999999997</v>
      </c>
      <c r="F145" s="8"/>
      <c r="G145" s="8">
        <f>G137+G138+G139+G140+G141+G144+G142+G143</f>
        <v>24.400000000000002</v>
      </c>
      <c r="H145" s="33"/>
    </row>
  </sheetData>
  <phoneticPr fontId="7" type="noConversion"/>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F997A-9295-4161-8D82-80CE5D6C7B0E}">
  <sheetPr codeName="Foglio3"/>
  <dimension ref="A1:J52"/>
  <sheetViews>
    <sheetView zoomScale="85" zoomScaleNormal="85" workbookViewId="0">
      <selection activeCell="D33" sqref="D33"/>
    </sheetView>
  </sheetViews>
  <sheetFormatPr defaultRowHeight="15" x14ac:dyDescent="0.25"/>
  <cols>
    <col min="1" max="1" width="77.42578125" bestFit="1" customWidth="1"/>
    <col min="2" max="2" width="31.28515625" customWidth="1"/>
    <col min="3" max="3" width="12.7109375" customWidth="1"/>
    <col min="4" max="4" width="52.85546875" customWidth="1"/>
    <col min="5" max="5" width="37" bestFit="1" customWidth="1"/>
    <col min="6" max="6" width="20.42578125" customWidth="1"/>
    <col min="7" max="7" width="24.85546875" customWidth="1"/>
    <col min="8" max="8" width="16.5703125" customWidth="1"/>
    <col min="9" max="9" width="29.5703125" style="22" customWidth="1"/>
  </cols>
  <sheetData>
    <row r="1" spans="1:10" x14ac:dyDescent="0.25">
      <c r="A1" t="s">
        <v>0</v>
      </c>
      <c r="B1" t="s">
        <v>1</v>
      </c>
      <c r="C1" t="s">
        <v>2</v>
      </c>
      <c r="D1" t="s">
        <v>3</v>
      </c>
      <c r="E1" t="s">
        <v>4</v>
      </c>
      <c r="F1" t="s">
        <v>5</v>
      </c>
      <c r="G1" t="s">
        <v>6</v>
      </c>
      <c r="H1" t="s">
        <v>113</v>
      </c>
      <c r="I1" s="22" t="s">
        <v>7</v>
      </c>
      <c r="J1" t="s">
        <v>321</v>
      </c>
    </row>
    <row r="2" spans="1:10" hidden="1" x14ac:dyDescent="0.25">
      <c r="A2" t="s">
        <v>267</v>
      </c>
      <c r="B2" t="s">
        <v>290</v>
      </c>
      <c r="C2" t="s">
        <v>10</v>
      </c>
      <c r="D2" t="s">
        <v>11</v>
      </c>
      <c r="E2" t="s">
        <v>268</v>
      </c>
      <c r="F2">
        <v>400</v>
      </c>
      <c r="G2" t="s">
        <v>297</v>
      </c>
      <c r="H2">
        <v>2021</v>
      </c>
      <c r="I2" s="22">
        <v>736000000</v>
      </c>
    </row>
    <row r="3" spans="1:10" hidden="1" x14ac:dyDescent="0.25">
      <c r="A3" t="s">
        <v>265</v>
      </c>
      <c r="B3" t="s">
        <v>290</v>
      </c>
      <c r="C3" t="s">
        <v>10</v>
      </c>
      <c r="D3" t="s">
        <v>11</v>
      </c>
      <c r="E3" t="s">
        <v>266</v>
      </c>
      <c r="F3">
        <v>420</v>
      </c>
      <c r="G3" t="s">
        <v>297</v>
      </c>
      <c r="H3">
        <v>2021</v>
      </c>
      <c r="I3" s="22">
        <v>669000000</v>
      </c>
    </row>
    <row r="4" spans="1:10" x14ac:dyDescent="0.25">
      <c r="A4" t="s">
        <v>284</v>
      </c>
      <c r="B4" t="s">
        <v>296</v>
      </c>
      <c r="C4" t="s">
        <v>176</v>
      </c>
      <c r="D4" t="s">
        <v>274</v>
      </c>
      <c r="E4" t="s">
        <v>232</v>
      </c>
      <c r="H4">
        <v>2021</v>
      </c>
      <c r="I4" s="22">
        <v>190800000</v>
      </c>
    </row>
    <row r="5" spans="1:10" hidden="1" x14ac:dyDescent="0.25">
      <c r="A5" t="s">
        <v>231</v>
      </c>
      <c r="B5" t="s">
        <v>289</v>
      </c>
      <c r="C5" s="28" t="s">
        <v>427</v>
      </c>
      <c r="D5" t="s">
        <v>86</v>
      </c>
      <c r="E5" t="s">
        <v>232</v>
      </c>
      <c r="H5">
        <v>2021</v>
      </c>
      <c r="I5" s="22">
        <v>1460000000</v>
      </c>
    </row>
    <row r="6" spans="1:10" hidden="1" x14ac:dyDescent="0.25">
      <c r="A6" t="s">
        <v>252</v>
      </c>
      <c r="B6" t="s">
        <v>289</v>
      </c>
      <c r="C6" s="28" t="s">
        <v>427</v>
      </c>
      <c r="D6" t="s">
        <v>86</v>
      </c>
      <c r="E6" t="s">
        <v>253</v>
      </c>
      <c r="H6">
        <v>2021</v>
      </c>
      <c r="I6" s="22">
        <v>292000000</v>
      </c>
    </row>
    <row r="7" spans="1:10" hidden="1" x14ac:dyDescent="0.25">
      <c r="A7" t="s">
        <v>233</v>
      </c>
      <c r="B7" t="s">
        <v>289</v>
      </c>
      <c r="C7" s="28" t="s">
        <v>427</v>
      </c>
      <c r="D7" t="s">
        <v>86</v>
      </c>
      <c r="E7" t="s">
        <v>234</v>
      </c>
      <c r="H7">
        <v>2021</v>
      </c>
      <c r="I7" s="22">
        <v>1980000000</v>
      </c>
    </row>
    <row r="8" spans="1:10" x14ac:dyDescent="0.25">
      <c r="A8" t="s">
        <v>273</v>
      </c>
      <c r="B8" t="s">
        <v>293</v>
      </c>
      <c r="C8" t="s">
        <v>176</v>
      </c>
      <c r="D8" t="s">
        <v>274</v>
      </c>
      <c r="E8" t="s">
        <v>275</v>
      </c>
      <c r="H8">
        <v>2021</v>
      </c>
      <c r="I8" s="22">
        <v>809000000</v>
      </c>
    </row>
    <row r="9" spans="1:10" x14ac:dyDescent="0.25">
      <c r="A9" t="s">
        <v>278</v>
      </c>
      <c r="B9" t="s">
        <v>293</v>
      </c>
      <c r="C9" t="s">
        <v>176</v>
      </c>
      <c r="D9" t="s">
        <v>274</v>
      </c>
      <c r="E9" t="s">
        <v>279</v>
      </c>
      <c r="H9">
        <v>2021</v>
      </c>
      <c r="I9" s="22">
        <v>1080000000</v>
      </c>
    </row>
    <row r="10" spans="1:10" hidden="1" x14ac:dyDescent="0.25">
      <c r="A10" t="s">
        <v>248</v>
      </c>
      <c r="B10" t="s">
        <v>248</v>
      </c>
      <c r="C10" t="s">
        <v>10</v>
      </c>
      <c r="D10" t="s">
        <v>11</v>
      </c>
      <c r="E10" t="s">
        <v>249</v>
      </c>
      <c r="F10">
        <v>590</v>
      </c>
      <c r="G10" t="s">
        <v>297</v>
      </c>
      <c r="H10">
        <v>2021</v>
      </c>
      <c r="I10" s="22">
        <v>665000000</v>
      </c>
    </row>
    <row r="11" spans="1:10" hidden="1" x14ac:dyDescent="0.25">
      <c r="A11" t="s">
        <v>247</v>
      </c>
      <c r="B11" t="s">
        <v>247</v>
      </c>
      <c r="C11" t="s">
        <v>10</v>
      </c>
      <c r="D11" t="s">
        <v>11</v>
      </c>
      <c r="E11" t="s">
        <v>228</v>
      </c>
      <c r="F11">
        <v>433</v>
      </c>
      <c r="G11" t="s">
        <v>297</v>
      </c>
      <c r="H11">
        <v>2021</v>
      </c>
      <c r="I11" s="22">
        <v>612000000</v>
      </c>
    </row>
    <row r="12" spans="1:10" hidden="1" x14ac:dyDescent="0.25">
      <c r="A12" t="s">
        <v>227</v>
      </c>
      <c r="B12" t="s">
        <v>292</v>
      </c>
      <c r="C12" s="28" t="s">
        <v>427</v>
      </c>
      <c r="D12" t="s">
        <v>86</v>
      </c>
      <c r="E12" t="s">
        <v>228</v>
      </c>
      <c r="H12">
        <v>2021</v>
      </c>
      <c r="I12" s="22">
        <v>2140000000</v>
      </c>
    </row>
    <row r="13" spans="1:10" hidden="1" x14ac:dyDescent="0.25">
      <c r="A13" t="s">
        <v>269</v>
      </c>
      <c r="B13" t="s">
        <v>288</v>
      </c>
      <c r="C13" t="s">
        <v>10</v>
      </c>
      <c r="D13" t="s">
        <v>11</v>
      </c>
      <c r="E13" t="s">
        <v>270</v>
      </c>
      <c r="H13">
        <v>2021</v>
      </c>
      <c r="I13" s="22">
        <v>146000000</v>
      </c>
    </row>
    <row r="14" spans="1:10" hidden="1" x14ac:dyDescent="0.25">
      <c r="A14" t="s">
        <v>263</v>
      </c>
      <c r="B14" t="s">
        <v>295</v>
      </c>
      <c r="C14" t="s">
        <v>10</v>
      </c>
      <c r="D14" t="s">
        <v>11</v>
      </c>
      <c r="E14" t="s">
        <v>264</v>
      </c>
      <c r="H14">
        <v>2021</v>
      </c>
      <c r="I14" s="22">
        <v>116000000</v>
      </c>
    </row>
    <row r="15" spans="1:10" hidden="1" x14ac:dyDescent="0.25">
      <c r="A15" t="s">
        <v>257</v>
      </c>
      <c r="B15" t="s">
        <v>295</v>
      </c>
      <c r="C15" t="s">
        <v>10</v>
      </c>
      <c r="D15" t="s">
        <v>11</v>
      </c>
      <c r="E15" t="s">
        <v>258</v>
      </c>
      <c r="H15">
        <v>2021</v>
      </c>
      <c r="I15" s="22">
        <v>164000000</v>
      </c>
    </row>
    <row r="16" spans="1:10" hidden="1" x14ac:dyDescent="0.25">
      <c r="A16" t="s">
        <v>255</v>
      </c>
      <c r="B16" t="s">
        <v>295</v>
      </c>
      <c r="C16" t="s">
        <v>10</v>
      </c>
      <c r="D16" t="s">
        <v>11</v>
      </c>
      <c r="E16" t="s">
        <v>256</v>
      </c>
      <c r="H16">
        <v>2021</v>
      </c>
      <c r="I16" s="22">
        <v>166000000</v>
      </c>
    </row>
    <row r="17" spans="1:10" hidden="1" x14ac:dyDescent="0.25">
      <c r="A17" t="s">
        <v>433</v>
      </c>
      <c r="B17" t="s">
        <v>295</v>
      </c>
      <c r="C17" t="s">
        <v>10</v>
      </c>
      <c r="D17" t="s">
        <v>11</v>
      </c>
      <c r="E17" t="s">
        <v>434</v>
      </c>
      <c r="H17">
        <v>2021</v>
      </c>
      <c r="I17" s="46">
        <v>115747000</v>
      </c>
      <c r="J17">
        <v>31</v>
      </c>
    </row>
    <row r="18" spans="1:10" hidden="1" x14ac:dyDescent="0.25">
      <c r="A18" t="s">
        <v>250</v>
      </c>
      <c r="B18" t="s">
        <v>288</v>
      </c>
      <c r="C18" t="s">
        <v>10</v>
      </c>
      <c r="D18" t="s">
        <v>11</v>
      </c>
      <c r="E18" t="s">
        <v>251</v>
      </c>
      <c r="F18">
        <v>850</v>
      </c>
      <c r="G18" t="s">
        <v>297</v>
      </c>
      <c r="H18">
        <v>2021</v>
      </c>
      <c r="I18" s="22">
        <v>1760000000</v>
      </c>
    </row>
    <row r="19" spans="1:10" hidden="1" x14ac:dyDescent="0.25">
      <c r="A19" t="s">
        <v>259</v>
      </c>
      <c r="B19" t="s">
        <v>288</v>
      </c>
      <c r="C19" t="s">
        <v>10</v>
      </c>
      <c r="D19" t="s">
        <v>11</v>
      </c>
      <c r="E19" t="s">
        <v>260</v>
      </c>
      <c r="F19">
        <v>330</v>
      </c>
      <c r="G19" t="s">
        <v>297</v>
      </c>
      <c r="H19">
        <v>2021</v>
      </c>
      <c r="I19" s="22">
        <v>744000000</v>
      </c>
    </row>
    <row r="20" spans="1:10" hidden="1" x14ac:dyDescent="0.25">
      <c r="A20" t="s">
        <v>431</v>
      </c>
      <c r="B20" t="s">
        <v>295</v>
      </c>
      <c r="C20" t="s">
        <v>10</v>
      </c>
      <c r="D20" t="s">
        <v>429</v>
      </c>
      <c r="E20" t="s">
        <v>430</v>
      </c>
      <c r="F20">
        <v>99</v>
      </c>
      <c r="G20" t="s">
        <v>297</v>
      </c>
      <c r="H20">
        <v>2021</v>
      </c>
      <c r="I20" s="46" t="s">
        <v>432</v>
      </c>
      <c r="J20" s="20">
        <v>21</v>
      </c>
    </row>
    <row r="21" spans="1:10" hidden="1" x14ac:dyDescent="0.25">
      <c r="A21" t="s">
        <v>223</v>
      </c>
      <c r="B21" t="s">
        <v>288</v>
      </c>
      <c r="C21" t="s">
        <v>10</v>
      </c>
      <c r="D21" t="s">
        <v>11</v>
      </c>
      <c r="E21" t="s">
        <v>224</v>
      </c>
      <c r="F21">
        <v>1600</v>
      </c>
      <c r="G21" t="s">
        <v>297</v>
      </c>
      <c r="H21">
        <v>2021</v>
      </c>
      <c r="I21" s="22">
        <v>4540000000</v>
      </c>
    </row>
    <row r="22" spans="1:10" hidden="1" x14ac:dyDescent="0.25">
      <c r="A22" t="s">
        <v>241</v>
      </c>
      <c r="B22" t="s">
        <v>288</v>
      </c>
      <c r="C22" t="s">
        <v>10</v>
      </c>
      <c r="D22" t="s">
        <v>11</v>
      </c>
      <c r="E22" t="s">
        <v>242</v>
      </c>
      <c r="F22">
        <v>417</v>
      </c>
      <c r="G22" t="s">
        <v>297</v>
      </c>
      <c r="H22">
        <v>2021</v>
      </c>
      <c r="I22" s="22">
        <v>888000000</v>
      </c>
    </row>
    <row r="23" spans="1:10" hidden="1" x14ac:dyDescent="0.25">
      <c r="A23" t="s">
        <v>237</v>
      </c>
      <c r="B23" t="s">
        <v>288</v>
      </c>
      <c r="C23" t="s">
        <v>10</v>
      </c>
      <c r="D23" t="s">
        <v>11</v>
      </c>
      <c r="E23" s="28" t="s">
        <v>238</v>
      </c>
      <c r="H23">
        <v>2021</v>
      </c>
      <c r="I23" s="22">
        <v>769000000</v>
      </c>
    </row>
    <row r="24" spans="1:10" hidden="1" x14ac:dyDescent="0.25">
      <c r="A24" t="s">
        <v>245</v>
      </c>
      <c r="B24" t="s">
        <v>288</v>
      </c>
      <c r="C24" t="s">
        <v>10</v>
      </c>
      <c r="D24" t="s">
        <v>11</v>
      </c>
      <c r="E24" t="s">
        <v>246</v>
      </c>
      <c r="F24">
        <v>120</v>
      </c>
      <c r="G24" t="s">
        <v>297</v>
      </c>
      <c r="H24">
        <v>2021</v>
      </c>
      <c r="I24" s="22">
        <v>310000000</v>
      </c>
    </row>
    <row r="25" spans="1:10" hidden="1" x14ac:dyDescent="0.25">
      <c r="A25" t="s">
        <v>225</v>
      </c>
      <c r="B25" t="s">
        <v>288</v>
      </c>
      <c r="C25" t="s">
        <v>10</v>
      </c>
      <c r="D25" t="s">
        <v>11</v>
      </c>
      <c r="E25" t="s">
        <v>226</v>
      </c>
      <c r="F25">
        <v>1200</v>
      </c>
      <c r="G25" t="s">
        <v>297</v>
      </c>
      <c r="H25">
        <v>2021</v>
      </c>
      <c r="I25" s="22">
        <v>1310000000</v>
      </c>
    </row>
    <row r="26" spans="1:10" hidden="1" x14ac:dyDescent="0.25">
      <c r="A26" t="s">
        <v>229</v>
      </c>
      <c r="B26" t="s">
        <v>288</v>
      </c>
      <c r="C26" t="s">
        <v>10</v>
      </c>
      <c r="D26" t="s">
        <v>11</v>
      </c>
      <c r="E26" t="s">
        <v>230</v>
      </c>
      <c r="F26">
        <v>1035</v>
      </c>
      <c r="G26" t="s">
        <v>297</v>
      </c>
      <c r="H26">
        <v>2021</v>
      </c>
      <c r="I26" s="22">
        <v>1390000000</v>
      </c>
    </row>
    <row r="27" spans="1:10" hidden="1" x14ac:dyDescent="0.25">
      <c r="A27" t="s">
        <v>239</v>
      </c>
      <c r="B27" t="s">
        <v>288</v>
      </c>
      <c r="C27" t="s">
        <v>10</v>
      </c>
      <c r="D27" t="s">
        <v>11</v>
      </c>
      <c r="E27" t="s">
        <v>240</v>
      </c>
      <c r="F27">
        <v>485</v>
      </c>
      <c r="G27" t="s">
        <v>297</v>
      </c>
      <c r="H27">
        <v>2021</v>
      </c>
      <c r="I27" s="22">
        <v>780000000</v>
      </c>
    </row>
    <row r="28" spans="1:10" hidden="1" x14ac:dyDescent="0.25">
      <c r="A28" t="s">
        <v>235</v>
      </c>
      <c r="B28" t="s">
        <v>288</v>
      </c>
      <c r="C28" t="s">
        <v>10</v>
      </c>
      <c r="D28" t="s">
        <v>11</v>
      </c>
      <c r="E28" t="s">
        <v>236</v>
      </c>
      <c r="H28">
        <v>2021</v>
      </c>
      <c r="I28" s="22">
        <v>623000000</v>
      </c>
    </row>
    <row r="29" spans="1:10" hidden="1" x14ac:dyDescent="0.25">
      <c r="A29" t="s">
        <v>254</v>
      </c>
      <c r="B29" t="s">
        <v>288</v>
      </c>
      <c r="C29" t="s">
        <v>10</v>
      </c>
      <c r="D29" t="s">
        <v>11</v>
      </c>
      <c r="E29" t="s">
        <v>251</v>
      </c>
      <c r="F29">
        <v>850</v>
      </c>
      <c r="G29" t="s">
        <v>297</v>
      </c>
      <c r="H29">
        <v>2021</v>
      </c>
      <c r="I29" s="22">
        <v>1304000000</v>
      </c>
    </row>
    <row r="30" spans="1:10" hidden="1" x14ac:dyDescent="0.25">
      <c r="A30" t="s">
        <v>243</v>
      </c>
      <c r="B30" t="s">
        <v>288</v>
      </c>
      <c r="C30" t="s">
        <v>10</v>
      </c>
      <c r="D30" t="s">
        <v>11</v>
      </c>
      <c r="E30" t="s">
        <v>244</v>
      </c>
      <c r="F30">
        <v>105</v>
      </c>
      <c r="G30" t="s">
        <v>297</v>
      </c>
      <c r="H30">
        <v>2021</v>
      </c>
      <c r="I30" s="22">
        <v>260000000</v>
      </c>
    </row>
    <row r="31" spans="1:10" hidden="1" x14ac:dyDescent="0.25">
      <c r="A31" t="s">
        <v>271</v>
      </c>
      <c r="B31" t="s">
        <v>288</v>
      </c>
      <c r="C31" t="s">
        <v>10</v>
      </c>
      <c r="D31" t="s">
        <v>11</v>
      </c>
      <c r="E31" t="s">
        <v>272</v>
      </c>
      <c r="H31">
        <v>2021</v>
      </c>
      <c r="I31" s="22">
        <v>205000000</v>
      </c>
    </row>
    <row r="32" spans="1:10" hidden="1" x14ac:dyDescent="0.25">
      <c r="A32" t="s">
        <v>261</v>
      </c>
      <c r="B32" t="s">
        <v>294</v>
      </c>
      <c r="C32" t="s">
        <v>10</v>
      </c>
      <c r="D32" t="s">
        <v>11</v>
      </c>
      <c r="E32" t="s">
        <v>262</v>
      </c>
      <c r="F32">
        <v>1600</v>
      </c>
      <c r="G32" t="s">
        <v>297</v>
      </c>
      <c r="H32">
        <v>2021</v>
      </c>
      <c r="I32" s="22">
        <v>819000000</v>
      </c>
    </row>
    <row r="33" spans="1:9" ht="45" hidden="1" x14ac:dyDescent="0.25">
      <c r="A33" t="s">
        <v>286</v>
      </c>
      <c r="B33" t="s">
        <v>287</v>
      </c>
      <c r="C33" t="s">
        <v>204</v>
      </c>
      <c r="D33" s="17" t="s">
        <v>325</v>
      </c>
      <c r="E33" t="s">
        <v>323</v>
      </c>
      <c r="F33">
        <v>1350</v>
      </c>
      <c r="G33" t="s">
        <v>285</v>
      </c>
      <c r="H33">
        <v>2008</v>
      </c>
      <c r="I33" s="22">
        <v>122000000</v>
      </c>
    </row>
    <row r="34" spans="1:9" x14ac:dyDescent="0.25">
      <c r="A34" t="s">
        <v>282</v>
      </c>
      <c r="B34" t="s">
        <v>291</v>
      </c>
      <c r="C34" t="s">
        <v>176</v>
      </c>
      <c r="D34" t="s">
        <v>274</v>
      </c>
      <c r="E34" t="s">
        <v>283</v>
      </c>
      <c r="H34">
        <v>2021</v>
      </c>
      <c r="I34" s="22">
        <v>724000000</v>
      </c>
    </row>
    <row r="35" spans="1:9" x14ac:dyDescent="0.25">
      <c r="A35" t="s">
        <v>276</v>
      </c>
      <c r="B35" t="s">
        <v>291</v>
      </c>
      <c r="C35" t="s">
        <v>176</v>
      </c>
      <c r="D35" t="s">
        <v>274</v>
      </c>
      <c r="E35" t="s">
        <v>277</v>
      </c>
      <c r="H35">
        <v>2021</v>
      </c>
      <c r="I35" s="22">
        <v>1480000000</v>
      </c>
    </row>
    <row r="36" spans="1:9" x14ac:dyDescent="0.25">
      <c r="A36" t="s">
        <v>280</v>
      </c>
      <c r="B36" t="s">
        <v>291</v>
      </c>
      <c r="C36" t="s">
        <v>176</v>
      </c>
      <c r="D36" t="s">
        <v>274</v>
      </c>
      <c r="E36" t="s">
        <v>281</v>
      </c>
      <c r="H36">
        <v>2021</v>
      </c>
      <c r="I36" s="22">
        <v>678000000</v>
      </c>
    </row>
    <row r="37" spans="1:9" hidden="1" x14ac:dyDescent="0.25"/>
    <row r="38" spans="1:9" hidden="1" x14ac:dyDescent="0.25"/>
    <row r="39" spans="1:9" hidden="1" x14ac:dyDescent="0.25"/>
    <row r="40" spans="1:9" hidden="1" x14ac:dyDescent="0.25"/>
    <row r="41" spans="1:9" hidden="1" x14ac:dyDescent="0.25"/>
    <row r="42" spans="1:9" hidden="1" x14ac:dyDescent="0.25"/>
    <row r="43" spans="1:9" ht="27" hidden="1" customHeight="1" x14ac:dyDescent="0.25"/>
    <row r="47" spans="1:9" x14ac:dyDescent="0.25">
      <c r="B47" s="1" t="s">
        <v>222</v>
      </c>
      <c r="C47" s="1" t="s">
        <v>218</v>
      </c>
      <c r="D47" s="1" t="s">
        <v>220</v>
      </c>
      <c r="E47" s="2" t="s">
        <v>221</v>
      </c>
    </row>
    <row r="48" spans="1:9" x14ac:dyDescent="0.25">
      <c r="B48" s="3" t="s">
        <v>10</v>
      </c>
      <c r="C48" s="3">
        <f>COUNTIFS(Tabella5[Sector],"Energy")</f>
        <v>24</v>
      </c>
      <c r="D48" s="4">
        <f>SUMIF(Tabella5[Sector],"Energy",Tabella5[Yearly CO2 emission '[kg/year']])</f>
        <v>19091747000</v>
      </c>
      <c r="E48" s="9">
        <f>D48/10^9</f>
        <v>19.091747000000002</v>
      </c>
    </row>
    <row r="49" spans="2:5" x14ac:dyDescent="0.25">
      <c r="B49" s="5" t="s">
        <v>116</v>
      </c>
      <c r="C49" s="5">
        <f>COUNTIFS(Tabella5[Sector],"Waste")</f>
        <v>0</v>
      </c>
      <c r="D49" s="6">
        <f>SUMIF(Tabella5[Sector],"Waste",Tabella5[Yearly CO2 emission '[kg/year']])</f>
        <v>0</v>
      </c>
      <c r="E49" s="10">
        <f>D49/10^9</f>
        <v>0</v>
      </c>
    </row>
    <row r="50" spans="2:5" x14ac:dyDescent="0.25">
      <c r="B50" s="3" t="s">
        <v>176</v>
      </c>
      <c r="C50" s="3">
        <f>COUNTIFS(Tabella5[Sector],"Cement")</f>
        <v>6</v>
      </c>
      <c r="D50" s="4">
        <f>SUMIF(Tabella5[Sector],"Cement",Tabella5[Yearly CO2 emission '[kg/year']])</f>
        <v>4961800000</v>
      </c>
      <c r="E50" s="9">
        <f>D50/10^9</f>
        <v>4.9618000000000002</v>
      </c>
    </row>
    <row r="51" spans="2:5" x14ac:dyDescent="0.25">
      <c r="B51" s="5" t="s">
        <v>204</v>
      </c>
      <c r="C51" s="5">
        <f>COUNTIFS(Tabella5[Sector],"Steel")</f>
        <v>1</v>
      </c>
      <c r="D51" s="6">
        <f>SUMIF(Tabella5[Sector],"Steel",Tabella5[Yearly CO2 emission '[kg/year']])</f>
        <v>122000000</v>
      </c>
      <c r="E51" s="10">
        <f>D51/10^9</f>
        <v>0.122</v>
      </c>
    </row>
    <row r="52" spans="2:5" x14ac:dyDescent="0.25">
      <c r="B52" s="7" t="s">
        <v>219</v>
      </c>
      <c r="C52" s="8">
        <f>SUM(C48:C51)</f>
        <v>31</v>
      </c>
      <c r="D52" s="8">
        <f>SUM(D48:D51)</f>
        <v>24175547000</v>
      </c>
      <c r="E52" s="11">
        <f>SUM(E48:E51)</f>
        <v>24.175547000000002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North-Italy</vt:lpstr>
      <vt:lpstr>Greece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Chiara</dc:creator>
  <cp:lastModifiedBy>Bertoni, L. (Luca)</cp:lastModifiedBy>
  <dcterms:created xsi:type="dcterms:W3CDTF">2023-06-19T10:46:17Z</dcterms:created>
  <dcterms:modified xsi:type="dcterms:W3CDTF">2026-05-13T14:33:45Z</dcterms:modified>
</cp:coreProperties>
</file>