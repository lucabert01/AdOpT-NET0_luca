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00526A51-CAD1-46A9-AEFF-8CDEA1851BD5}" xr6:coauthVersionLast="47" xr6:coauthVersionMax="47" xr10:uidLastSave="{00000000-0000-0000-0000-000000000000}"/>
  <bookViews>
    <workbookView xWindow="-108" yWindow="-108" windowWidth="23256" windowHeight="12456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6" i="1"/>
  <c r="E2" i="5" l="1"/>
  <c r="E3" i="5"/>
  <c r="E4" i="5"/>
  <c r="E5" i="5"/>
  <c r="E6" i="5"/>
  <c r="F4" i="5"/>
  <c r="F5" i="5"/>
  <c r="F6" i="5"/>
  <c r="F3" i="5"/>
  <c r="H22" i="4"/>
  <c r="G4" i="5"/>
  <c r="H4" i="5"/>
  <c r="G23" i="4"/>
  <c r="H21" i="4"/>
  <c r="H20" i="4"/>
  <c r="G20" i="4"/>
  <c r="H3" i="5"/>
  <c r="G21" i="4"/>
  <c r="H2" i="5"/>
  <c r="D3" i="5"/>
  <c r="D4" i="5"/>
  <c r="D5" i="5"/>
  <c r="D6" i="5"/>
  <c r="G6" i="5"/>
  <c r="G2" i="5"/>
  <c r="D2" i="5"/>
  <c r="F20" i="4"/>
  <c r="G3" i="5" s="1"/>
  <c r="F21" i="4"/>
  <c r="F22" i="4"/>
  <c r="G5" i="5" s="1"/>
  <c r="F23" i="4"/>
  <c r="F19" i="4"/>
  <c r="H23" i="4" s="1"/>
  <c r="H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22" i="4"/>
  <c r="E20" i="4"/>
  <c r="E23" i="4"/>
  <c r="H5" i="5"/>
  <c r="G2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A5" authorId="0" shapeId="0" xr:uid="{64D304FC-4F89-4E73-99EA-AA114FFF1A61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SIZE in kmol of Fluegase from WtE per h
</t>
        </r>
      </text>
    </comment>
    <comment ref="A6" authorId="0" shapeId="0" xr:uid="{49BFB2C2-848C-4420-9060-357036976EDA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EXTRAPOLATED NUMBERS TO ENLARGE THE SIZE RANGE
</t>
        </r>
      </text>
    </commen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<sst xmlns="http://schemas.openxmlformats.org/spreadsheetml/2006/main" count="51" uniqueCount="27">
  <si>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</si>
  <si>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</si>
  <si>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</si>
  <si>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</si>
  <si>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</si>
  <si>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</si>
  <si>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</si>
  <si>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</si>
  <si>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</si>
  <si>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</si>
  <si>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</si>
  <si>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</si>
  <si>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</si>
  <si>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</si>
  <si>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</si>
  <si>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</si>
  <si>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</si>
  <si>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</si>
  <si>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</si>
  <si>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</si>
  <si>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</si>
  <si>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</si>
  <si>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</si>
  <si>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</si>
  <si>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</si>
  <si>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</si>
  <si>
    <t>NOT USEFUL, TH_INPUT DOESN'T CHANGE AND EFFICIENCY CHANGE IS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</si>
</sst>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2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2" borderId="0" xfId="0" applyNumberFormat="1" applyFill="1"/>
    <xf numFmtId="2" fontId="0" fillId="2" borderId="0" xfId="1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E13"/>
  <sheetViews>
    <sheetView tabSelected="1" workbookViewId="0">
      <selection activeCell="C6" sqref="C6"/>
    </sheetView>
  </sheetViews>
  <sheetFormatPr defaultRowHeight="14.4" x14ac:dyDescent="0.3"/>
  <cols>
    <col min="1" max="1" width="9.44140625" bestFit="1" customWidth="1"/>
    <col min="2" max="3" width="12" bestFit="1" customWidth="1"/>
  </cols>
  <sheetData>
    <row r="1" spans="1:5" x14ac:dyDescent="0.3">
      <c r="B1">
        <v>0.08</v>
      </c>
      <c r="C1">
        <v>0.1</v>
      </c>
    </row>
    <row r="2" spans="1:5" x14ac:dyDescent="0.3">
      <c r="A2">
        <v>0</v>
      </c>
      <c r="B2">
        <v>0</v>
      </c>
      <c r="C2">
        <v>0</v>
      </c>
    </row>
    <row r="3" spans="1:5" x14ac:dyDescent="0.3">
      <c r="A3" s="1">
        <v>3347.0983994063113</v>
      </c>
      <c r="B3" s="3">
        <v>166037113.35997301</v>
      </c>
      <c r="C3" s="3">
        <v>187453521.97777799</v>
      </c>
      <c r="E3" s="3"/>
    </row>
    <row r="4" spans="1:5" x14ac:dyDescent="0.3">
      <c r="A4" s="1">
        <v>8925.5957317501616</v>
      </c>
      <c r="B4" s="3">
        <v>335583666.32719898</v>
      </c>
      <c r="C4" s="3">
        <v>396717686.00048</v>
      </c>
    </row>
    <row r="5" spans="1:5" x14ac:dyDescent="0.3">
      <c r="A5" s="1">
        <v>16066.072317150292</v>
      </c>
      <c r="B5">
        <v>486368837.80266201</v>
      </c>
      <c r="C5">
        <v>586394103.56009102</v>
      </c>
    </row>
    <row r="6" spans="1:5" x14ac:dyDescent="0.3">
      <c r="A6" s="8">
        <v>34000</v>
      </c>
      <c r="B6" s="2">
        <f>_xlfn.FORECAST.LINEAR(A6,B4:B5,A4:A5)</f>
        <v>865078904.07697272</v>
      </c>
      <c r="C6" s="2">
        <f>_xlfn.FORECAST.LINEAR(A6,C4:C5,A4:A5)</f>
        <v>1062782915.2832865</v>
      </c>
    </row>
    <row r="10" spans="1:5" x14ac:dyDescent="0.3">
      <c r="B10" s="3"/>
      <c r="C10" s="3"/>
    </row>
    <row r="11" spans="1:5" x14ac:dyDescent="0.3">
      <c r="A11" s="1"/>
      <c r="B11" s="3"/>
      <c r="C11" s="3"/>
    </row>
    <row r="12" spans="1:5" x14ac:dyDescent="0.3">
      <c r="A12" s="1"/>
    </row>
    <row r="13" spans="1:5" x14ac:dyDescent="0.3">
      <c r="A13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workbookViewId="0">
      <selection activeCell="B2" sqref="B2"/>
    </sheetView>
  </sheetViews>
  <sheetFormatPr defaultRowHeight="14.4" x14ac:dyDescent="0.3"/>
  <cols>
    <col min="1" max="1" width="27.44140625" bestFit="1" customWidth="1"/>
  </cols>
  <sheetData>
    <row r="1" spans="1:3" x14ac:dyDescent="0.3">
      <c r="B1">
        <v>0.08</v>
      </c>
      <c r="C1">
        <v>0.1</v>
      </c>
    </row>
    <row r="2" spans="1:3" x14ac:dyDescent="0.3">
      <c r="A2" t="s">
        <v>0</v>
      </c>
      <c r="B2" s="5">
        <v>0.89</v>
      </c>
      <c r="C2" s="5">
        <v>1.04</v>
      </c>
    </row>
    <row r="3" spans="1:3" x14ac:dyDescent="0.3">
      <c r="A3" t="s">
        <v>10</v>
      </c>
      <c r="B3" s="4">
        <f>8.81/3600*1000</f>
        <v>2.447222222222222</v>
      </c>
      <c r="C3" s="4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A5" sqref="A5"/>
    </sheetView>
  </sheetViews>
  <sheetFormatPr defaultRowHeight="14.4" x14ac:dyDescent="0.3"/>
  <cols>
    <col min="1" max="1" width="24" bestFit="1" customWidth="1"/>
    <col min="3" max="3" width="12.33203125" bestFit="1" customWidth="1"/>
  </cols>
  <sheetData>
    <row r="2" spans="1:3" x14ac:dyDescent="0.3">
      <c r="A2" t="s">
        <v>1</v>
      </c>
      <c r="B2">
        <v>1.649</v>
      </c>
      <c r="C2" t="s">
        <v>9</v>
      </c>
    </row>
    <row r="3" spans="1:3" x14ac:dyDescent="0.3">
      <c r="A3" t="s">
        <v>3</v>
      </c>
      <c r="B3">
        <v>1.04</v>
      </c>
      <c r="C3" t="s">
        <v>4</v>
      </c>
    </row>
    <row r="4" spans="1:3" x14ac:dyDescent="0.3">
      <c r="A4" t="s">
        <v>2</v>
      </c>
      <c r="B4">
        <v>0.89900000000000002</v>
      </c>
      <c r="C4" t="s">
        <v>4</v>
      </c>
    </row>
    <row r="5" spans="1:3" x14ac:dyDescent="0.3">
      <c r="A5" t="s">
        <v>5</v>
      </c>
      <c r="B5">
        <v>4.92</v>
      </c>
      <c r="C5" t="s">
        <v>6</v>
      </c>
    </row>
    <row r="6" spans="1:3" x14ac:dyDescent="0.3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G22" sqref="G22:G23"/>
    </sheetView>
  </sheetViews>
  <sheetFormatPr defaultRowHeight="14.4" x14ac:dyDescent="0.3"/>
  <cols>
    <col min="1" max="1" width="10.44140625" bestFit="1" customWidth="1"/>
    <col min="2" max="3" width="10.44140625" customWidth="1"/>
    <col min="4" max="4" width="17.5546875" bestFit="1" customWidth="1"/>
    <col min="5" max="5" width="28" bestFit="1" customWidth="1"/>
    <col min="6" max="6" width="16.5546875" bestFit="1" customWidth="1"/>
    <col min="7" max="7" width="21.6640625" customWidth="1"/>
  </cols>
  <sheetData>
    <row r="1" spans="1:6" x14ac:dyDescent="0.3">
      <c r="D1" t="s">
        <v>18</v>
      </c>
      <c r="E1" t="s">
        <v>20</v>
      </c>
      <c r="F1" t="s">
        <v>16</v>
      </c>
    </row>
    <row r="2" spans="1:6" x14ac:dyDescent="0.3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3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3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3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3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3">
      <c r="D10" t="s">
        <v>17</v>
      </c>
      <c r="E10" t="s">
        <v>19</v>
      </c>
      <c r="F10" t="s">
        <v>16</v>
      </c>
    </row>
    <row r="11" spans="1:6" x14ac:dyDescent="0.3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3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3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3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3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3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3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6">
        <f>F11/$F$11</f>
        <v>1</v>
      </c>
    </row>
    <row r="20" spans="1:8" x14ac:dyDescent="0.3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6">
        <f>($E$19-E20)/(B20-$B$19)</f>
        <v>-6.518974258055095E-2</v>
      </c>
      <c r="H20" s="6">
        <f>($F$19-F20)/(B20-$B$19)</f>
        <v>-0.38825764055897322</v>
      </c>
    </row>
    <row r="21" spans="1:8" x14ac:dyDescent="0.3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6">
        <f>($E$19-E21)/(B21-$B$19)</f>
        <v>-7.2829401167430502E-2</v>
      </c>
      <c r="H21" s="6">
        <f>($F$19-F21)/(B21-$B$19)</f>
        <v>-0.21718551162933217</v>
      </c>
    </row>
    <row r="22" spans="1:8" x14ac:dyDescent="0.3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6">
        <f>($E$19-E22)/(C22-$C$19)</f>
        <v>2.2626719745674442</v>
      </c>
      <c r="H22" s="6">
        <f>($F$19-F22)/(C22-$C$19)</f>
        <v>2.917497849317642</v>
      </c>
    </row>
    <row r="23" spans="1:8" x14ac:dyDescent="0.3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6">
        <f>($E$19-E23)/(C23-$C$19)</f>
        <v>1.6998099495084915</v>
      </c>
      <c r="H23" s="6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I6"/>
  <sheetViews>
    <sheetView workbookViewId="0">
      <selection activeCell="F1" sqref="F1"/>
    </sheetView>
  </sheetViews>
  <sheetFormatPr defaultRowHeight="14.4" x14ac:dyDescent="0.3"/>
  <cols>
    <col min="3" max="3" width="9" bestFit="1" customWidth="1"/>
    <col min="4" max="4" width="17.5546875" bestFit="1" customWidth="1"/>
    <col min="5" max="5" width="14.33203125" bestFit="1" customWidth="1"/>
    <col min="6" max="6" width="22" bestFit="1" customWidth="1"/>
    <col min="7" max="7" width="16.5546875" bestFit="1" customWidth="1"/>
    <col min="8" max="8" width="18.88671875" bestFit="1" customWidth="1"/>
    <col min="9" max="9" width="71.5546875" bestFit="1" customWidth="1"/>
  </cols>
  <sheetData>
    <row r="1" spans="1:9" x14ac:dyDescent="0.3">
      <c r="B1" t="s">
        <v>21</v>
      </c>
      <c r="C1" t="s">
        <v>22</v>
      </c>
      <c r="D1" t="s">
        <v>18</v>
      </c>
      <c r="E1" t="s">
        <v>20</v>
      </c>
      <c r="F1" t="s">
        <v>24</v>
      </c>
      <c r="G1" t="s">
        <v>16</v>
      </c>
      <c r="H1" t="s">
        <v>23</v>
      </c>
    </row>
    <row r="2" spans="1:9" x14ac:dyDescent="0.3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G2">
        <f>offdesign_calculations!F19</f>
        <v>1</v>
      </c>
      <c r="H2">
        <f>offdesign_calculations!H19</f>
        <v>0</v>
      </c>
    </row>
    <row r="3" spans="1:9" x14ac:dyDescent="0.3">
      <c r="A3" s="2" t="s">
        <v>11</v>
      </c>
      <c r="B3" s="2">
        <v>0.93145161290322576</v>
      </c>
      <c r="C3" s="2">
        <v>0.08</v>
      </c>
      <c r="D3" s="2">
        <f>offdesign_calculations!D20</f>
        <v>62.376821351495991</v>
      </c>
      <c r="E3" s="2">
        <f>offdesign_calculations!E20</f>
        <v>0.99553134829084933</v>
      </c>
      <c r="F3" s="7">
        <f>offdesign_calculations!G20</f>
        <v>-6.518974258055095E-2</v>
      </c>
      <c r="G3" s="2">
        <f>offdesign_calculations!F20</f>
        <v>0.97338556496168327</v>
      </c>
      <c r="H3" s="2">
        <f>offdesign_calculations!H20</f>
        <v>-0.38825764055897322</v>
      </c>
      <c r="I3" s="2" t="s">
        <v>26</v>
      </c>
    </row>
    <row r="4" spans="1:9" x14ac:dyDescent="0.3">
      <c r="A4" s="2" t="s">
        <v>12</v>
      </c>
      <c r="B4" s="2">
        <v>1.068548387096774</v>
      </c>
      <c r="C4" s="2">
        <v>0.08</v>
      </c>
      <c r="D4" s="2">
        <f>offdesign_calculations!D21</f>
        <v>54.839021258772</v>
      </c>
      <c r="E4" s="2">
        <f>offdesign_calculations!E21</f>
        <v>1.0049923379832513</v>
      </c>
      <c r="F4" s="7">
        <f>offdesign_calculations!G21</f>
        <v>-7.2829401167430502E-2</v>
      </c>
      <c r="G4" s="7">
        <f>offdesign_calculations!F21</f>
        <v>1.0148877165229784</v>
      </c>
      <c r="H4" s="7">
        <f>offdesign_calculations!H21</f>
        <v>-0.21718551162933217</v>
      </c>
    </row>
    <row r="5" spans="1:9" x14ac:dyDescent="0.3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 s="6">
        <f>offdesign_calculations!G22</f>
        <v>2.2626719745674442</v>
      </c>
      <c r="G5">
        <f>offdesign_calculations!F22</f>
        <v>0.97082502150682359</v>
      </c>
      <c r="H5">
        <f>offdesign_calculations!H22</f>
        <v>2.917497849317642</v>
      </c>
    </row>
    <row r="6" spans="1:9" x14ac:dyDescent="0.3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 s="6">
        <f>offdesign_calculations!G23</f>
        <v>1.6998099495084915</v>
      </c>
      <c r="G6">
        <f>offdesign_calculations!F23</f>
        <v>0.97722629849724263</v>
      </c>
      <c r="H6">
        <f>offdesign_calculations!H23</f>
        <v>-2.2773701502757384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2026-08-11T15:44:59Z</dcterms:modified>
</cp:coreProperties>
</file>